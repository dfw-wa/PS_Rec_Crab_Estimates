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katelyn_bosley_dfw_wa_gov/Documents/Desktop/For today/EUC and Weights (Creel Data and Code)/EUC and Weights (Creel Data and Code)/"/>
    </mc:Choice>
  </mc:AlternateContent>
  <xr:revisionPtr revIDLastSave="74" documentId="8_{7F545D9D-6818-441C-B110-6466B56466D7}" xr6:coauthVersionLast="47" xr6:coauthVersionMax="47" xr10:uidLastSave="{0737A42A-6264-4902-ADCD-EAC1A6EEA9A7}"/>
  <bookViews>
    <workbookView xWindow="28680" yWindow="-2415" windowWidth="29040" windowHeight="15720" xr2:uid="{BB4E5FA1-2F37-485C-A6FC-E10F94D8D054}"/>
  </bookViews>
  <sheets>
    <sheet name="Summer Only Data" sheetId="5" r:id="rId1"/>
    <sheet name="Summer + MA7 Winter (Sept) Dat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5" l="1"/>
  <c r="K22" i="5"/>
  <c r="P43" i="5"/>
  <c r="P42" i="5"/>
  <c r="P41" i="5"/>
  <c r="P40" i="5"/>
  <c r="P39" i="5"/>
  <c r="P38" i="5"/>
  <c r="P37" i="5"/>
  <c r="P36" i="5"/>
  <c r="K15" i="5"/>
  <c r="P28" i="5"/>
  <c r="P27" i="5"/>
  <c r="P26" i="5"/>
  <c r="P25" i="5"/>
  <c r="P24" i="5"/>
  <c r="P23" i="5"/>
  <c r="P22" i="5"/>
  <c r="P21" i="5"/>
  <c r="K8" i="5"/>
  <c r="P13" i="5"/>
  <c r="P12" i="5"/>
  <c r="P11" i="5"/>
  <c r="P10" i="5"/>
  <c r="P9" i="5"/>
  <c r="P8" i="5"/>
  <c r="P7" i="5"/>
  <c r="P6" i="5"/>
  <c r="C8" i="5"/>
  <c r="K18" i="5" l="1"/>
  <c r="K11" i="5"/>
  <c r="K15" i="4"/>
  <c r="K4" i="5"/>
  <c r="K8" i="4"/>
  <c r="D22" i="5"/>
  <c r="E22" i="5"/>
  <c r="F22" i="5"/>
  <c r="G22" i="5"/>
  <c r="H22" i="5"/>
  <c r="I22" i="5"/>
  <c r="J22" i="5"/>
  <c r="C22" i="5"/>
  <c r="D15" i="5"/>
  <c r="E15" i="5"/>
  <c r="F15" i="5"/>
  <c r="G15" i="5"/>
  <c r="H15" i="5"/>
  <c r="I15" i="5"/>
  <c r="J15" i="5"/>
  <c r="C15" i="5"/>
  <c r="D8" i="5"/>
  <c r="E8" i="5"/>
  <c r="F8" i="5"/>
  <c r="G8" i="5"/>
  <c r="H8" i="5"/>
  <c r="I8" i="5"/>
  <c r="J8" i="5"/>
  <c r="K18" i="4"/>
  <c r="K11" i="4"/>
  <c r="H24" i="4"/>
  <c r="I24" i="4"/>
  <c r="J24" i="4"/>
  <c r="C24" i="4"/>
  <c r="D22" i="4"/>
  <c r="E22" i="4"/>
  <c r="E24" i="4" s="1"/>
  <c r="F22" i="4"/>
  <c r="F24" i="4" s="1"/>
  <c r="G22" i="4"/>
  <c r="G24" i="4" s="1"/>
  <c r="H22" i="4"/>
  <c r="I22" i="4"/>
  <c r="J22" i="4"/>
  <c r="C22" i="4"/>
  <c r="D15" i="4"/>
  <c r="E15" i="4"/>
  <c r="F15" i="4"/>
  <c r="G15" i="4"/>
  <c r="H15" i="4"/>
  <c r="I15" i="4"/>
  <c r="J15" i="4"/>
  <c r="C15" i="4"/>
  <c r="K4" i="4"/>
  <c r="D8" i="4"/>
  <c r="E8" i="4"/>
  <c r="F8" i="4"/>
  <c r="G8" i="4"/>
  <c r="H8" i="4"/>
  <c r="I8" i="4"/>
  <c r="J8" i="4"/>
  <c r="C8" i="4"/>
  <c r="G24" i="5" l="1"/>
  <c r="I24" i="5"/>
  <c r="H24" i="5"/>
  <c r="C24" i="5"/>
  <c r="J24" i="5"/>
  <c r="D24" i="5"/>
  <c r="F24" i="5"/>
  <c r="E24" i="5"/>
  <c r="K22" i="4"/>
  <c r="K24" i="4" s="1"/>
  <c r="D24" i="4"/>
</calcChain>
</file>

<file path=xl/sharedStrings.xml><?xml version="1.0" encoding="utf-8"?>
<sst xmlns="http://schemas.openxmlformats.org/spreadsheetml/2006/main" count="89" uniqueCount="23">
  <si>
    <t>Marine Area</t>
  </si>
  <si>
    <t>8_1</t>
  </si>
  <si>
    <t>8_2</t>
  </si>
  <si>
    <r>
      <t>Total Vessels (</t>
    </r>
    <r>
      <rPr>
        <b/>
        <i/>
        <sz val="14"/>
        <color rgb="FF000000"/>
        <rFont val="Aptos Narrow"/>
        <family val="2"/>
      </rPr>
      <t>n</t>
    </r>
    <r>
      <rPr>
        <b/>
        <sz val="14"/>
        <color rgb="FF000000"/>
        <rFont val="Aptos Narrow"/>
        <family val="2"/>
      </rPr>
      <t>; Successful w/CRCs checked)</t>
    </r>
  </si>
  <si>
    <t>Dungeness Crab Retained</t>
  </si>
  <si>
    <t>Dungeness Crab Recorded on CRCs</t>
  </si>
  <si>
    <t>Dungeness Crab Unrecorded on CRCs</t>
  </si>
  <si>
    <t>EUC (Estimated Unrecorded Catch)</t>
  </si>
  <si>
    <t>Weighted EUC (weighted by vessels contacted)</t>
  </si>
  <si>
    <t>2025 Reported CRC Data</t>
  </si>
  <si>
    <t>MA</t>
  </si>
  <si>
    <t>Crabs Reported</t>
  </si>
  <si>
    <t>Proportion Crabs</t>
  </si>
  <si>
    <t>Adjust Prop</t>
  </si>
  <si>
    <t>Raw Weights</t>
  </si>
  <si>
    <t>Adjust Weights</t>
  </si>
  <si>
    <t>2024 Reported CRC Data</t>
  </si>
  <si>
    <t>2023 Reported CRC Data</t>
  </si>
  <si>
    <t>Non-focal EUC</t>
  </si>
  <si>
    <t>2025 Summer Reported CRC Data</t>
  </si>
  <si>
    <t>2024 Summer  Reported CRC Data</t>
  </si>
  <si>
    <t>2023 Summer  Reported CRC Data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</si>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</sst>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</font>
    <font>
      <b/>
      <i/>
      <sz val="14"/>
      <color rgb="FF000000"/>
      <name val="Aptos Narrow"/>
      <family val="2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3" borderId="4" xfId="0" applyFont="1" applyFill="1" applyBorder="1"/>
    <xf numFmtId="0" fontId="3" fillId="3" borderId="4" xfId="0" applyFont="1" applyFill="1" applyBorder="1" applyAlignment="1">
      <alignment horizontal="center"/>
    </xf>
    <xf numFmtId="0" fontId="4" fillId="4" borderId="4" xfId="0" applyFont="1" applyFill="1" applyBorder="1"/>
    <xf numFmtId="0" fontId="6" fillId="0" borderId="4" xfId="0" applyFont="1" applyBorder="1" applyAlignment="1">
      <alignment horizontal="center"/>
    </xf>
    <xf numFmtId="10" fontId="3" fillId="0" borderId="4" xfId="1" applyNumberFormat="1" applyFont="1" applyBorder="1" applyAlignment="1">
      <alignment horizontal="center"/>
    </xf>
    <xf numFmtId="10" fontId="3" fillId="0" borderId="4" xfId="1" applyNumberFormat="1" applyFont="1" applyFill="1" applyBorder="1" applyAlignment="1">
      <alignment horizontal="center"/>
    </xf>
    <xf numFmtId="0" fontId="0" fillId="0" borderId="4" xfId="0" applyBorder="1"/>
    <xf numFmtId="0" fontId="6" fillId="0" borderId="4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7F7A-C55C-4CDB-ACD2-BDEE8029D216}">
  <dimension ref="B2:S44"/>
  <sheetViews>
    <sheetView tabSelected="1" zoomScale="83" zoomScaleNormal="83" workbookViewId="0">
      <selection activeCell="S14" sqref="S14"/>
    </sheetView>
  </sheetViews>
  <sheetFormatPr defaultRowHeight="14.5" x14ac:dyDescent="0.35"/>
  <cols>
    <col min="2" max="2" width="52.36328125" customWidth="1"/>
    <col min="3" max="3" width="14.54296875" customWidth="1"/>
    <col min="4" max="4" width="12.54296875" customWidth="1"/>
    <col min="5" max="5" width="12.90625" customWidth="1"/>
    <col min="6" max="6" width="13.6328125" customWidth="1"/>
    <col min="7" max="7" width="13.36328125" customWidth="1"/>
    <col min="8" max="8" width="12.54296875" customWidth="1"/>
    <col min="9" max="9" width="12.81640625" customWidth="1"/>
    <col min="10" max="10" width="14" customWidth="1"/>
    <col min="11" max="11" width="20.453125" customWidth="1"/>
    <col min="15" max="15" width="15.1796875" customWidth="1"/>
    <col min="16" max="16" width="15.54296875" customWidth="1"/>
    <col min="17" max="17" width="11.81640625" customWidth="1"/>
    <col min="18" max="18" width="12.54296875" customWidth="1"/>
    <col min="19" max="19" width="14" customWidth="1"/>
    <col min="20" max="20" width="3.6328125" customWidth="1"/>
  </cols>
  <sheetData>
    <row r="2" spans="2:19" ht="23.5" x14ac:dyDescent="0.55000000000000004">
      <c r="B2" s="12">
        <v>2025</v>
      </c>
      <c r="C2" s="13"/>
      <c r="D2" s="13"/>
      <c r="E2" s="13"/>
      <c r="F2" s="13"/>
      <c r="G2" s="13"/>
      <c r="H2" s="13"/>
      <c r="I2" s="13"/>
      <c r="J2" s="13"/>
      <c r="K2" s="14"/>
      <c r="N2" s="15" t="s">
        <v>19</v>
      </c>
      <c r="O2" s="15"/>
    </row>
    <row r="3" spans="2:19" ht="18.5" x14ac:dyDescent="0.45">
      <c r="B3" s="1" t="s">
        <v>0</v>
      </c>
      <c r="C3" s="2">
        <v>6</v>
      </c>
      <c r="D3" s="2">
        <v>7</v>
      </c>
      <c r="E3" s="2" t="s">
        <v>1</v>
      </c>
      <c r="F3" s="2" t="s">
        <v>2</v>
      </c>
      <c r="G3" s="2">
        <v>9</v>
      </c>
      <c r="H3" s="2">
        <v>10</v>
      </c>
      <c r="I3" s="2">
        <v>11</v>
      </c>
      <c r="J3" s="2">
        <v>12</v>
      </c>
      <c r="K3" s="2" t="s">
        <v>18</v>
      </c>
      <c r="N3" s="15" t="s">
        <v>10</v>
      </c>
      <c r="O3" s="16" t="s">
        <v>11</v>
      </c>
      <c r="P3" s="16" t="s">
        <v>22</v>
      </c>
    </row>
    <row r="4" spans="2:19" ht="18.5" x14ac:dyDescent="0.45">
      <c r="B4" s="3" t="s">
        <v>3</v>
      </c>
      <c r="C4" s="4">
        <v>92</v>
      </c>
      <c r="D4" s="4">
        <v>124</v>
      </c>
      <c r="E4" s="4">
        <v>728</v>
      </c>
      <c r="F4" s="4">
        <v>1321</v>
      </c>
      <c r="G4" s="4">
        <v>501</v>
      </c>
      <c r="H4" s="4">
        <v>114</v>
      </c>
      <c r="I4" s="4">
        <v>237</v>
      </c>
      <c r="J4" s="4">
        <v>29</v>
      </c>
      <c r="K4" s="4">
        <f>SUM(C4:J4)</f>
        <v>3146</v>
      </c>
      <c r="N4">
        <v>4</v>
      </c>
      <c r="O4">
        <v>258</v>
      </c>
    </row>
    <row r="5" spans="2:19" ht="18.5" x14ac:dyDescent="0.45">
      <c r="B5" s="3" t="s">
        <v>4</v>
      </c>
      <c r="C5" s="4">
        <v>936</v>
      </c>
      <c r="D5" s="4">
        <v>1199</v>
      </c>
      <c r="E5" s="4">
        <v>7860</v>
      </c>
      <c r="F5" s="4">
        <v>12011</v>
      </c>
      <c r="G5" s="4">
        <v>3869</v>
      </c>
      <c r="H5" s="4">
        <v>669</v>
      </c>
      <c r="I5" s="4">
        <v>1182</v>
      </c>
      <c r="J5" s="4">
        <v>141</v>
      </c>
      <c r="K5" s="7"/>
      <c r="N5">
        <v>5</v>
      </c>
      <c r="O5">
        <v>1037</v>
      </c>
    </row>
    <row r="6" spans="2:19" ht="18.5" x14ac:dyDescent="0.45">
      <c r="B6" s="3" t="s">
        <v>5</v>
      </c>
      <c r="C6" s="4">
        <v>834</v>
      </c>
      <c r="D6" s="4">
        <v>972</v>
      </c>
      <c r="E6" s="4">
        <v>6766</v>
      </c>
      <c r="F6" s="4">
        <v>10333</v>
      </c>
      <c r="G6" s="4">
        <v>3326</v>
      </c>
      <c r="H6" s="4">
        <v>558</v>
      </c>
      <c r="I6" s="4">
        <v>978</v>
      </c>
      <c r="J6" s="4">
        <v>130</v>
      </c>
      <c r="K6" s="7"/>
      <c r="N6">
        <v>6</v>
      </c>
      <c r="O6">
        <v>35652</v>
      </c>
      <c r="P6">
        <f>(C8*O6)</f>
        <v>4360.3165467625904</v>
      </c>
    </row>
    <row r="7" spans="2:19" ht="18.5" x14ac:dyDescent="0.45">
      <c r="B7" s="3" t="s">
        <v>6</v>
      </c>
      <c r="C7" s="4">
        <v>102</v>
      </c>
      <c r="D7" s="4">
        <v>227</v>
      </c>
      <c r="E7" s="4">
        <v>1094</v>
      </c>
      <c r="F7" s="4">
        <v>1678</v>
      </c>
      <c r="G7" s="4">
        <v>543</v>
      </c>
      <c r="H7" s="4">
        <v>111</v>
      </c>
      <c r="I7" s="4">
        <v>204</v>
      </c>
      <c r="J7" s="4">
        <v>11</v>
      </c>
      <c r="K7" s="7"/>
      <c r="N7">
        <v>7</v>
      </c>
      <c r="O7">
        <v>160121</v>
      </c>
      <c r="P7">
        <f>(O7*D8)</f>
        <v>37394.513374485592</v>
      </c>
    </row>
    <row r="8" spans="2:19" ht="18.5" x14ac:dyDescent="0.45">
      <c r="B8" s="3" t="s">
        <v>7</v>
      </c>
      <c r="C8" s="5">
        <f>C7/C6</f>
        <v>0.1223021582733813</v>
      </c>
      <c r="D8" s="5">
        <f t="shared" ref="D8:J8" si="0">D7/D6</f>
        <v>0.23353909465020575</v>
      </c>
      <c r="E8" s="6">
        <f t="shared" si="0"/>
        <v>0.16169080697605676</v>
      </c>
      <c r="F8" s="6">
        <f t="shared" si="0"/>
        <v>0.16239233523662053</v>
      </c>
      <c r="G8" s="6">
        <f t="shared" si="0"/>
        <v>0.16325917017438366</v>
      </c>
      <c r="H8" s="6">
        <f t="shared" si="0"/>
        <v>0.19892473118279569</v>
      </c>
      <c r="I8" s="6">
        <f t="shared" si="0"/>
        <v>0.20858895705521471</v>
      </c>
      <c r="J8" s="6">
        <f t="shared" si="0"/>
        <v>8.461538461538462E-2</v>
      </c>
      <c r="K8" s="6">
        <f>SUM(P6:P13)/SUM(O6:O13)</f>
        <v>0.18225967112231484</v>
      </c>
      <c r="N8">
        <v>81</v>
      </c>
      <c r="O8">
        <v>122937</v>
      </c>
      <c r="P8">
        <f>(O8*E8)</f>
        <v>19877.78273721549</v>
      </c>
    </row>
    <row r="9" spans="2:19" ht="23.5" x14ac:dyDescent="0.55000000000000004">
      <c r="B9" s="12">
        <v>2024</v>
      </c>
      <c r="C9" s="13"/>
      <c r="D9" s="13"/>
      <c r="E9" s="13"/>
      <c r="F9" s="13"/>
      <c r="G9" s="13"/>
      <c r="H9" s="13"/>
      <c r="I9" s="13"/>
      <c r="J9" s="13"/>
      <c r="K9" s="14"/>
      <c r="N9">
        <v>82</v>
      </c>
      <c r="O9">
        <v>127919</v>
      </c>
      <c r="P9">
        <f>(O9*F8)</f>
        <v>20773.065131133262</v>
      </c>
      <c r="S9" s="17"/>
    </row>
    <row r="10" spans="2:19" ht="18.5" x14ac:dyDescent="0.45">
      <c r="B10" s="1" t="s">
        <v>0</v>
      </c>
      <c r="C10" s="2">
        <v>6</v>
      </c>
      <c r="D10" s="2">
        <v>7</v>
      </c>
      <c r="E10" s="2" t="s">
        <v>1</v>
      </c>
      <c r="F10" s="2" t="s">
        <v>2</v>
      </c>
      <c r="G10" s="2">
        <v>9</v>
      </c>
      <c r="H10" s="2">
        <v>10</v>
      </c>
      <c r="I10" s="2">
        <v>11</v>
      </c>
      <c r="J10" s="2">
        <v>12</v>
      </c>
      <c r="K10" s="2" t="s">
        <v>18</v>
      </c>
      <c r="N10">
        <v>9</v>
      </c>
      <c r="O10">
        <v>47965</v>
      </c>
      <c r="P10">
        <f>(O10*G8)</f>
        <v>7830.7260974143119</v>
      </c>
    </row>
    <row r="11" spans="2:19" ht="18.5" x14ac:dyDescent="0.45">
      <c r="B11" s="3" t="s">
        <v>3</v>
      </c>
      <c r="C11" s="4">
        <v>474</v>
      </c>
      <c r="D11" s="4">
        <v>168</v>
      </c>
      <c r="E11" s="4">
        <v>882</v>
      </c>
      <c r="F11" s="4">
        <v>2275</v>
      </c>
      <c r="G11" s="4">
        <v>147</v>
      </c>
      <c r="H11" s="4">
        <v>143</v>
      </c>
      <c r="I11" s="4">
        <v>281</v>
      </c>
      <c r="J11" s="4">
        <v>34</v>
      </c>
      <c r="K11" s="4">
        <f>SUM(C11:J11)</f>
        <v>4404</v>
      </c>
      <c r="N11">
        <v>10</v>
      </c>
      <c r="O11">
        <v>25589</v>
      </c>
      <c r="P11">
        <f>(O11*H8)</f>
        <v>5090.2849462365584</v>
      </c>
    </row>
    <row r="12" spans="2:19" ht="18.5" x14ac:dyDescent="0.45">
      <c r="B12" s="3" t="s">
        <v>4</v>
      </c>
      <c r="C12" s="4">
        <v>4425</v>
      </c>
      <c r="D12" s="4">
        <v>1696</v>
      </c>
      <c r="E12" s="4">
        <v>8596</v>
      </c>
      <c r="F12" s="4">
        <v>17072</v>
      </c>
      <c r="G12" s="4">
        <v>1222</v>
      </c>
      <c r="H12" s="4">
        <v>947</v>
      </c>
      <c r="I12" s="4">
        <v>1620</v>
      </c>
      <c r="J12" s="4">
        <v>201</v>
      </c>
      <c r="K12" s="7"/>
      <c r="N12">
        <v>11</v>
      </c>
      <c r="O12">
        <v>19058</v>
      </c>
      <c r="P12">
        <f>(O12*I8)</f>
        <v>3975.2883435582821</v>
      </c>
    </row>
    <row r="13" spans="2:19" ht="18.5" x14ac:dyDescent="0.45">
      <c r="B13" s="3" t="s">
        <v>5</v>
      </c>
      <c r="C13" s="4">
        <v>3975</v>
      </c>
      <c r="D13" s="4">
        <v>1375</v>
      </c>
      <c r="E13" s="4">
        <v>7389</v>
      </c>
      <c r="F13" s="4">
        <v>14178</v>
      </c>
      <c r="G13" s="4">
        <v>1065</v>
      </c>
      <c r="H13" s="4">
        <v>766</v>
      </c>
      <c r="I13" s="4">
        <v>1375</v>
      </c>
      <c r="J13" s="4">
        <v>192</v>
      </c>
      <c r="K13" s="7"/>
      <c r="N13">
        <v>12</v>
      </c>
      <c r="O13">
        <v>10447</v>
      </c>
      <c r="P13">
        <f>(O13*J8)</f>
        <v>883.97692307692307</v>
      </c>
    </row>
    <row r="14" spans="2:19" ht="18.5" x14ac:dyDescent="0.45">
      <c r="B14" s="3" t="s">
        <v>6</v>
      </c>
      <c r="C14" s="4">
        <v>450</v>
      </c>
      <c r="D14" s="4">
        <v>321</v>
      </c>
      <c r="E14" s="4">
        <v>1207</v>
      </c>
      <c r="F14" s="4">
        <v>2894</v>
      </c>
      <c r="G14" s="4">
        <v>157</v>
      </c>
      <c r="H14" s="4">
        <v>181</v>
      </c>
      <c r="I14" s="4">
        <v>245</v>
      </c>
      <c r="J14" s="4">
        <v>9</v>
      </c>
      <c r="K14" s="7"/>
      <c r="N14">
        <v>13</v>
      </c>
      <c r="O14">
        <v>84</v>
      </c>
    </row>
    <row r="15" spans="2:19" ht="18.5" x14ac:dyDescent="0.45">
      <c r="B15" s="3" t="s">
        <v>7</v>
      </c>
      <c r="C15" s="5">
        <f>C14/C13</f>
        <v>0.11320754716981132</v>
      </c>
      <c r="D15" s="5">
        <f t="shared" ref="D15:J15" si="1">D14/D13</f>
        <v>0.23345454545454544</v>
      </c>
      <c r="E15" s="5">
        <f t="shared" si="1"/>
        <v>0.16335092705372853</v>
      </c>
      <c r="F15" s="5">
        <f t="shared" si="1"/>
        <v>0.20411905769502045</v>
      </c>
      <c r="G15" s="5">
        <f t="shared" si="1"/>
        <v>0.14741784037558686</v>
      </c>
      <c r="H15" s="5">
        <f t="shared" si="1"/>
        <v>0.23629242819843341</v>
      </c>
      <c r="I15" s="5">
        <f t="shared" si="1"/>
        <v>0.17818181818181819</v>
      </c>
      <c r="J15" s="5">
        <f t="shared" si="1"/>
        <v>4.6875E-2</v>
      </c>
      <c r="K15" s="6">
        <f>SUM(P21:P28)/SUM(O21:O28)</f>
        <v>0.18746494787409498</v>
      </c>
    </row>
    <row r="16" spans="2:19" ht="23.5" x14ac:dyDescent="0.55000000000000004">
      <c r="B16" s="12">
        <v>2023</v>
      </c>
      <c r="C16" s="13"/>
      <c r="D16" s="13"/>
      <c r="E16" s="13"/>
      <c r="F16" s="13"/>
      <c r="G16" s="13"/>
      <c r="H16" s="13"/>
      <c r="I16" s="13"/>
      <c r="J16" s="13"/>
      <c r="K16" s="14"/>
    </row>
    <row r="17" spans="2:16" ht="18.5" x14ac:dyDescent="0.45">
      <c r="B17" s="1" t="s">
        <v>0</v>
      </c>
      <c r="C17" s="2">
        <v>6</v>
      </c>
      <c r="D17" s="2">
        <v>7</v>
      </c>
      <c r="E17" s="2" t="s">
        <v>1</v>
      </c>
      <c r="F17" s="2" t="s">
        <v>2</v>
      </c>
      <c r="G17" s="2">
        <v>9</v>
      </c>
      <c r="H17" s="2">
        <v>10</v>
      </c>
      <c r="I17" s="2">
        <v>11</v>
      </c>
      <c r="J17" s="2">
        <v>12</v>
      </c>
      <c r="K17" s="2" t="s">
        <v>18</v>
      </c>
      <c r="N17" s="15" t="s">
        <v>20</v>
      </c>
    </row>
    <row r="18" spans="2:16" ht="18.5" x14ac:dyDescent="0.45">
      <c r="B18" s="3" t="s">
        <v>3</v>
      </c>
      <c r="C18" s="4">
        <v>194</v>
      </c>
      <c r="D18" s="4">
        <v>141</v>
      </c>
      <c r="E18" s="4">
        <v>223</v>
      </c>
      <c r="F18" s="4">
        <v>442</v>
      </c>
      <c r="G18" s="4">
        <v>104</v>
      </c>
      <c r="H18" s="4">
        <v>81</v>
      </c>
      <c r="I18" s="4">
        <v>52</v>
      </c>
      <c r="J18" s="4">
        <v>34</v>
      </c>
      <c r="K18" s="4">
        <f>SUM(C18:J18)</f>
        <v>1271</v>
      </c>
      <c r="N18" s="15" t="s">
        <v>10</v>
      </c>
      <c r="O18" s="16" t="s">
        <v>11</v>
      </c>
      <c r="P18" s="16" t="s">
        <v>22</v>
      </c>
    </row>
    <row r="19" spans="2:16" ht="18.5" x14ac:dyDescent="0.45">
      <c r="B19" s="3" t="s">
        <v>4</v>
      </c>
      <c r="C19" s="4">
        <v>980</v>
      </c>
      <c r="D19" s="4">
        <v>1296</v>
      </c>
      <c r="E19" s="4">
        <v>1553</v>
      </c>
      <c r="F19" s="4">
        <v>3063</v>
      </c>
      <c r="G19" s="4">
        <v>674</v>
      </c>
      <c r="H19" s="4">
        <v>483</v>
      </c>
      <c r="I19" s="4">
        <v>323</v>
      </c>
      <c r="J19" s="4">
        <v>129</v>
      </c>
      <c r="K19" s="7"/>
      <c r="N19">
        <v>4</v>
      </c>
      <c r="O19">
        <v>274</v>
      </c>
    </row>
    <row r="20" spans="2:16" ht="18.5" x14ac:dyDescent="0.45">
      <c r="B20" s="3" t="s">
        <v>5</v>
      </c>
      <c r="C20" s="4">
        <v>818</v>
      </c>
      <c r="D20" s="4">
        <v>1089</v>
      </c>
      <c r="E20" s="4">
        <v>1198</v>
      </c>
      <c r="F20" s="4">
        <v>2204</v>
      </c>
      <c r="G20" s="4">
        <v>610</v>
      </c>
      <c r="H20" s="4">
        <v>291</v>
      </c>
      <c r="I20" s="4">
        <v>239</v>
      </c>
      <c r="J20" s="4">
        <v>105</v>
      </c>
      <c r="K20" s="7"/>
      <c r="N20">
        <v>5</v>
      </c>
      <c r="O20">
        <v>1609</v>
      </c>
    </row>
    <row r="21" spans="2:16" ht="18.5" x14ac:dyDescent="0.45">
      <c r="B21" s="3" t="s">
        <v>6</v>
      </c>
      <c r="C21" s="4">
        <v>162</v>
      </c>
      <c r="D21" s="4">
        <v>207</v>
      </c>
      <c r="E21" s="4">
        <v>355</v>
      </c>
      <c r="F21" s="4">
        <v>859</v>
      </c>
      <c r="G21" s="4">
        <v>64</v>
      </c>
      <c r="H21" s="4">
        <v>192</v>
      </c>
      <c r="I21" s="4">
        <v>84</v>
      </c>
      <c r="J21" s="4">
        <v>24</v>
      </c>
      <c r="K21" s="7"/>
      <c r="N21">
        <v>6</v>
      </c>
      <c r="O21">
        <v>42442</v>
      </c>
      <c r="P21">
        <f>(C15*O21)</f>
        <v>4804.7547169811323</v>
      </c>
    </row>
    <row r="22" spans="2:16" ht="18.5" x14ac:dyDescent="0.45">
      <c r="B22" s="3" t="s">
        <v>7</v>
      </c>
      <c r="C22" s="6">
        <f>C21/C20</f>
        <v>0.1980440097799511</v>
      </c>
      <c r="D22" s="6">
        <f t="shared" ref="D22:J22" si="2">D21/D20</f>
        <v>0.19008264462809918</v>
      </c>
      <c r="E22" s="6">
        <f t="shared" si="2"/>
        <v>0.29632721202003337</v>
      </c>
      <c r="F22" s="6">
        <f t="shared" si="2"/>
        <v>0.3897459165154265</v>
      </c>
      <c r="G22" s="6">
        <f t="shared" si="2"/>
        <v>0.10491803278688525</v>
      </c>
      <c r="H22" s="6">
        <f t="shared" si="2"/>
        <v>0.65979381443298968</v>
      </c>
      <c r="I22" s="6">
        <f t="shared" si="2"/>
        <v>0.35146443514644349</v>
      </c>
      <c r="J22" s="6">
        <f t="shared" si="2"/>
        <v>0.22857142857142856</v>
      </c>
      <c r="K22" s="6">
        <f>SUM(P36:P43)/SUM(O36:O43)</f>
        <v>0.26920778345449187</v>
      </c>
      <c r="N22">
        <v>7</v>
      </c>
      <c r="O22">
        <v>152657</v>
      </c>
      <c r="P22">
        <f>(O22*D15)</f>
        <v>35638.47054545454</v>
      </c>
    </row>
    <row r="23" spans="2:16" ht="18.5" x14ac:dyDescent="0.45">
      <c r="B23" s="9"/>
      <c r="C23" s="10"/>
      <c r="D23" s="10"/>
      <c r="E23" s="10"/>
      <c r="F23" s="10"/>
      <c r="G23" s="10"/>
      <c r="H23" s="10"/>
      <c r="I23" s="10"/>
      <c r="J23" s="10"/>
      <c r="K23" s="11"/>
      <c r="N23">
        <v>81</v>
      </c>
      <c r="O23">
        <v>111940</v>
      </c>
      <c r="P23">
        <f>(O23*E15)</f>
        <v>18285.502774394372</v>
      </c>
    </row>
    <row r="24" spans="2:16" ht="18.5" x14ac:dyDescent="0.45">
      <c r="B24" s="3" t="s">
        <v>8</v>
      </c>
      <c r="C24" s="5">
        <f>((C8*C4)+(C15*C11)+(C22*C18))/(C4+C11+C18)</f>
        <v>0.13596409712756863</v>
      </c>
      <c r="D24" s="5">
        <f t="shared" ref="D24:J24" si="3">((D8*D4)+(D15*D11)+(D22*D18))/(D4+D11+D18)</f>
        <v>0.21935534472413659</v>
      </c>
      <c r="E24" s="6">
        <f t="shared" si="3"/>
        <v>0.17886928173509292</v>
      </c>
      <c r="F24" s="6">
        <f t="shared" si="3"/>
        <v>0.2107872278859747</v>
      </c>
      <c r="G24" s="6">
        <f t="shared" si="3"/>
        <v>0.15209407207767761</v>
      </c>
      <c r="H24" s="6">
        <f t="shared" si="3"/>
        <v>0.32517909927895516</v>
      </c>
      <c r="I24" s="6">
        <f t="shared" si="3"/>
        <v>0.20663302519086288</v>
      </c>
      <c r="J24" s="6">
        <f t="shared" si="3"/>
        <v>0.12184561572448172</v>
      </c>
      <c r="K24" s="6">
        <f>((K8*K4)+(K15*K11)+(K22*K18))/(K4+K11+K18)</f>
        <v>0.19738665100997346</v>
      </c>
      <c r="N24">
        <v>82</v>
      </c>
      <c r="O24">
        <v>99844</v>
      </c>
      <c r="P24">
        <f>(O24*F15)</f>
        <v>20380.063196501622</v>
      </c>
    </row>
    <row r="25" spans="2:16" x14ac:dyDescent="0.35">
      <c r="N25">
        <v>9</v>
      </c>
      <c r="O25">
        <v>52767</v>
      </c>
      <c r="P25">
        <f>(O25*G15)</f>
        <v>7778.7971830985916</v>
      </c>
    </row>
    <row r="26" spans="2:16" x14ac:dyDescent="0.35">
      <c r="N26">
        <v>10</v>
      </c>
      <c r="O26">
        <v>26877</v>
      </c>
      <c r="P26">
        <f>(O26*H15)</f>
        <v>6350.8315926892947</v>
      </c>
    </row>
    <row r="27" spans="2:16" x14ac:dyDescent="0.35">
      <c r="N27">
        <v>11</v>
      </c>
      <c r="O27">
        <v>21505</v>
      </c>
      <c r="P27">
        <f>(O27*I15)</f>
        <v>3831.8</v>
      </c>
    </row>
    <row r="28" spans="2:16" x14ac:dyDescent="0.35">
      <c r="N28">
        <v>12</v>
      </c>
      <c r="O28">
        <v>13031</v>
      </c>
      <c r="P28">
        <f>(O28*J15)</f>
        <v>610.828125</v>
      </c>
    </row>
    <row r="29" spans="2:16" x14ac:dyDescent="0.35">
      <c r="N29">
        <v>13</v>
      </c>
      <c r="O29">
        <v>74</v>
      </c>
    </row>
    <row r="32" spans="2:16" x14ac:dyDescent="0.35">
      <c r="N32" s="15" t="s">
        <v>21</v>
      </c>
      <c r="O32" s="15"/>
    </row>
    <row r="33" spans="14:16" x14ac:dyDescent="0.35">
      <c r="N33" s="15" t="s">
        <v>10</v>
      </c>
      <c r="O33" s="16" t="s">
        <v>11</v>
      </c>
      <c r="P33" s="16" t="s">
        <v>22</v>
      </c>
    </row>
    <row r="34" spans="14:16" x14ac:dyDescent="0.35">
      <c r="N34">
        <v>4</v>
      </c>
      <c r="O34">
        <v>298</v>
      </c>
    </row>
    <row r="35" spans="14:16" x14ac:dyDescent="0.35">
      <c r="N35">
        <v>5</v>
      </c>
      <c r="O35">
        <v>1612</v>
      </c>
    </row>
    <row r="36" spans="14:16" x14ac:dyDescent="0.35">
      <c r="N36">
        <v>6</v>
      </c>
      <c r="O36">
        <v>38162</v>
      </c>
      <c r="P36">
        <f>(C22*O36)</f>
        <v>7557.7555012224939</v>
      </c>
    </row>
    <row r="37" spans="14:16" x14ac:dyDescent="0.35">
      <c r="N37">
        <v>7</v>
      </c>
      <c r="O37">
        <v>165301</v>
      </c>
      <c r="P37">
        <f>(O37*D22)</f>
        <v>31420.851239669424</v>
      </c>
    </row>
    <row r="38" spans="14:16" x14ac:dyDescent="0.35">
      <c r="N38">
        <v>81</v>
      </c>
      <c r="O38">
        <v>81821</v>
      </c>
      <c r="P38">
        <f>(O38*E22)</f>
        <v>24245.78881469115</v>
      </c>
    </row>
    <row r="39" spans="14:16" x14ac:dyDescent="0.35">
      <c r="N39">
        <v>82</v>
      </c>
      <c r="O39">
        <v>93105</v>
      </c>
      <c r="P39">
        <f>(O39*F22)</f>
        <v>36287.293557168785</v>
      </c>
    </row>
    <row r="40" spans="14:16" x14ac:dyDescent="0.35">
      <c r="N40">
        <v>9</v>
      </c>
      <c r="O40">
        <v>49326</v>
      </c>
      <c r="P40">
        <f>(O40*G22)</f>
        <v>5175.186885245902</v>
      </c>
    </row>
    <row r="41" spans="14:16" x14ac:dyDescent="0.35">
      <c r="N41">
        <v>10</v>
      </c>
      <c r="O41">
        <v>23912</v>
      </c>
      <c r="P41">
        <f>(O41*H22)</f>
        <v>15776.98969072165</v>
      </c>
    </row>
    <row r="42" spans="14:16" x14ac:dyDescent="0.35">
      <c r="N42">
        <v>11</v>
      </c>
      <c r="O42">
        <v>20625</v>
      </c>
      <c r="P42">
        <f>(O42*I22)</f>
        <v>7248.9539748953966</v>
      </c>
    </row>
    <row r="43" spans="14:16" x14ac:dyDescent="0.35">
      <c r="N43">
        <v>12</v>
      </c>
      <c r="O43">
        <v>14246</v>
      </c>
      <c r="P43">
        <f>(O43*J22)</f>
        <v>3256.2285714285713</v>
      </c>
    </row>
    <row r="44" spans="14:16" x14ac:dyDescent="0.35">
      <c r="N44">
        <v>13</v>
      </c>
      <c r="O44">
        <v>36</v>
      </c>
    </row>
  </sheetData>
  <mergeCells count="4">
    <mergeCell ref="B2:K2"/>
    <mergeCell ref="B9:K9"/>
    <mergeCell ref="B16:K16"/>
    <mergeCell ref="B23:K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3F9D-D794-4FB2-A25D-75AF4BA25F7C}">
  <dimension ref="B2:S45"/>
  <sheetViews>
    <sheetView zoomScaleNormal="100" workbookViewId="0">
      <selection activeCell="L6" sqref="L6"/>
    </sheetView>
  </sheetViews>
  <sheetFormatPr defaultRowHeight="14.5" x14ac:dyDescent="0.35"/>
  <cols>
    <col min="2" max="2" width="52.36328125" customWidth="1"/>
    <col min="3" max="3" width="14.54296875" customWidth="1"/>
    <col min="4" max="4" width="12.54296875" customWidth="1"/>
    <col min="5" max="5" width="12.90625" customWidth="1"/>
    <col min="6" max="6" width="13.6328125" customWidth="1"/>
    <col min="7" max="7" width="13.36328125" customWidth="1"/>
    <col min="8" max="8" width="12.54296875" customWidth="1"/>
    <col min="9" max="9" width="12.81640625" customWidth="1"/>
    <col min="10" max="10" width="14" customWidth="1"/>
    <col min="11" max="11" width="20.453125" customWidth="1"/>
    <col min="15" max="15" width="15.1796875" customWidth="1"/>
    <col min="16" max="16" width="15.54296875" customWidth="1"/>
    <col min="17" max="17" width="11.81640625" customWidth="1"/>
    <col min="18" max="18" width="12.54296875" customWidth="1"/>
    <col min="19" max="19" width="14" customWidth="1"/>
  </cols>
  <sheetData>
    <row r="2" spans="2:19" ht="23.5" x14ac:dyDescent="0.55000000000000004">
      <c r="B2" s="12">
        <v>2025</v>
      </c>
      <c r="C2" s="13"/>
      <c r="D2" s="13"/>
      <c r="E2" s="13"/>
      <c r="F2" s="13"/>
      <c r="G2" s="13"/>
      <c r="H2" s="13"/>
      <c r="I2" s="13"/>
      <c r="J2" s="13"/>
      <c r="K2" s="14"/>
    </row>
    <row r="3" spans="2:19" ht="18.5" x14ac:dyDescent="0.45">
      <c r="B3" s="1" t="s">
        <v>0</v>
      </c>
      <c r="C3" s="2">
        <v>6</v>
      </c>
      <c r="D3" s="2">
        <v>7</v>
      </c>
      <c r="E3" s="2" t="s">
        <v>1</v>
      </c>
      <c r="F3" s="2" t="s">
        <v>2</v>
      </c>
      <c r="G3" s="2">
        <v>9</v>
      </c>
      <c r="H3" s="2">
        <v>10</v>
      </c>
      <c r="I3" s="2">
        <v>11</v>
      </c>
      <c r="J3" s="2">
        <v>12</v>
      </c>
      <c r="K3" s="2" t="s">
        <v>18</v>
      </c>
    </row>
    <row r="4" spans="2:19" ht="18.5" x14ac:dyDescent="0.45">
      <c r="B4" s="3" t="s">
        <v>3</v>
      </c>
      <c r="C4" s="4">
        <v>92</v>
      </c>
      <c r="D4" s="4">
        <v>226</v>
      </c>
      <c r="E4" s="4">
        <v>728</v>
      </c>
      <c r="F4" s="4">
        <v>1321</v>
      </c>
      <c r="G4" s="4">
        <v>501</v>
      </c>
      <c r="H4" s="4">
        <v>114</v>
      </c>
      <c r="I4" s="4">
        <v>237</v>
      </c>
      <c r="J4" s="4">
        <v>29</v>
      </c>
      <c r="K4" s="4">
        <f>SUM(C4:J4)</f>
        <v>3248</v>
      </c>
      <c r="N4" t="s">
        <v>9</v>
      </c>
    </row>
    <row r="5" spans="2:19" ht="18.5" x14ac:dyDescent="0.45">
      <c r="B5" s="3" t="s">
        <v>4</v>
      </c>
      <c r="C5" s="4">
        <v>936</v>
      </c>
      <c r="D5" s="4">
        <v>2074</v>
      </c>
      <c r="E5" s="4">
        <v>7860</v>
      </c>
      <c r="F5" s="4">
        <v>12011</v>
      </c>
      <c r="G5" s="4">
        <v>3869</v>
      </c>
      <c r="H5" s="4">
        <v>669</v>
      </c>
      <c r="I5" s="4">
        <v>1182</v>
      </c>
      <c r="J5" s="4">
        <v>141</v>
      </c>
      <c r="K5" s="7"/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</row>
    <row r="6" spans="2:19" ht="18.5" x14ac:dyDescent="0.45">
      <c r="B6" s="3" t="s">
        <v>5</v>
      </c>
      <c r="C6" s="4">
        <v>834</v>
      </c>
      <c r="D6" s="4">
        <v>1554</v>
      </c>
      <c r="E6" s="4">
        <v>6766</v>
      </c>
      <c r="F6" s="4">
        <v>10333</v>
      </c>
      <c r="G6" s="4">
        <v>3326</v>
      </c>
      <c r="H6" s="4">
        <v>558</v>
      </c>
      <c r="I6" s="4">
        <v>978</v>
      </c>
      <c r="J6" s="4">
        <v>130</v>
      </c>
      <c r="K6" s="7"/>
      <c r="N6">
        <v>4</v>
      </c>
      <c r="O6">
        <v>258</v>
      </c>
      <c r="P6">
        <v>4.6818263477943701E-4</v>
      </c>
    </row>
    <row r="7" spans="2:19" ht="18.5" x14ac:dyDescent="0.45">
      <c r="B7" s="3" t="s">
        <v>6</v>
      </c>
      <c r="C7" s="4">
        <v>102</v>
      </c>
      <c r="D7" s="4">
        <v>520</v>
      </c>
      <c r="E7" s="4">
        <v>1094</v>
      </c>
      <c r="F7" s="4">
        <v>1678</v>
      </c>
      <c r="G7" s="4">
        <v>543</v>
      </c>
      <c r="H7" s="4">
        <v>111</v>
      </c>
      <c r="I7" s="4">
        <v>204</v>
      </c>
      <c r="J7" s="4">
        <v>11</v>
      </c>
      <c r="K7" s="7"/>
      <c r="N7">
        <v>5</v>
      </c>
      <c r="O7">
        <v>1037</v>
      </c>
      <c r="P7">
        <v>1.8818038459933184E-3</v>
      </c>
    </row>
    <row r="8" spans="2:19" ht="18.5" x14ac:dyDescent="0.45">
      <c r="B8" s="3" t="s">
        <v>7</v>
      </c>
      <c r="C8" s="5">
        <f>C7/C6</f>
        <v>0.1223021582733813</v>
      </c>
      <c r="D8" s="5">
        <f t="shared" ref="D8:J8" si="0">D7/D6</f>
        <v>0.33462033462033464</v>
      </c>
      <c r="E8" s="5">
        <f t="shared" si="0"/>
        <v>0.16169080697605676</v>
      </c>
      <c r="F8" s="5">
        <f t="shared" si="0"/>
        <v>0.16239233523662053</v>
      </c>
      <c r="G8" s="5">
        <f t="shared" si="0"/>
        <v>0.16325917017438366</v>
      </c>
      <c r="H8" s="5">
        <f t="shared" si="0"/>
        <v>0.19892473118279569</v>
      </c>
      <c r="I8" s="5">
        <f t="shared" si="0"/>
        <v>0.20858895705521471</v>
      </c>
      <c r="J8" s="5">
        <f t="shared" si="0"/>
        <v>8.461538461538462E-2</v>
      </c>
      <c r="K8" s="6">
        <f>((C8*Q8)+(D8*Q9)+(E8*Q10)+(F8*Q11)+(G8*Q12)+(H8*Q13)+(I8*Q14)+(J8*Q15))/(Q8+Q9+Q10+Q11+Q12+Q13+Q14+Q15)</f>
        <v>0.21170406362361918</v>
      </c>
      <c r="N8">
        <v>6</v>
      </c>
      <c r="O8">
        <v>35652</v>
      </c>
      <c r="P8">
        <v>6.4696307345567777E-2</v>
      </c>
      <c r="Q8">
        <v>6.4858610702798677E-2</v>
      </c>
      <c r="R8">
        <v>7.9123583883629403E-3</v>
      </c>
      <c r="S8">
        <v>7.9322080889522792E-3</v>
      </c>
    </row>
    <row r="9" spans="2:19" ht="23.5" x14ac:dyDescent="0.55000000000000004">
      <c r="B9" s="12">
        <v>2024</v>
      </c>
      <c r="C9" s="13"/>
      <c r="D9" s="13"/>
      <c r="E9" s="13"/>
      <c r="F9" s="13"/>
      <c r="G9" s="13"/>
      <c r="H9" s="13"/>
      <c r="I9" s="13"/>
      <c r="J9" s="13"/>
      <c r="K9" s="14"/>
      <c r="N9">
        <v>7</v>
      </c>
      <c r="O9">
        <v>160121</v>
      </c>
      <c r="P9">
        <v>0.29056539404464432</v>
      </c>
      <c r="Q9">
        <v>0.2912943342405146</v>
      </c>
      <c r="R9">
        <v>6.4214952083866392E-2</v>
      </c>
      <c r="S9">
        <v>6.437604786715373E-2</v>
      </c>
    </row>
    <row r="10" spans="2:19" ht="18.5" x14ac:dyDescent="0.45">
      <c r="B10" s="1" t="s">
        <v>0</v>
      </c>
      <c r="C10" s="2">
        <v>6</v>
      </c>
      <c r="D10" s="2">
        <v>7</v>
      </c>
      <c r="E10" s="2" t="s">
        <v>1</v>
      </c>
      <c r="F10" s="2" t="s">
        <v>2</v>
      </c>
      <c r="G10" s="2">
        <v>9</v>
      </c>
      <c r="H10" s="2">
        <v>10</v>
      </c>
      <c r="I10" s="2">
        <v>11</v>
      </c>
      <c r="J10" s="2">
        <v>12</v>
      </c>
      <c r="K10" s="2" t="s">
        <v>18</v>
      </c>
      <c r="N10">
        <v>81</v>
      </c>
      <c r="O10">
        <v>122937</v>
      </c>
      <c r="P10">
        <v>0.22308902547240173</v>
      </c>
      <c r="Q10">
        <v>0.22364868798300128</v>
      </c>
      <c r="R10">
        <v>3.5002668096619831E-2</v>
      </c>
      <c r="S10">
        <v>3.50904791445329E-2</v>
      </c>
    </row>
    <row r="11" spans="2:19" ht="18.5" x14ac:dyDescent="0.45">
      <c r="B11" s="3" t="s">
        <v>3</v>
      </c>
      <c r="C11" s="4">
        <v>474</v>
      </c>
      <c r="D11" s="4">
        <v>376</v>
      </c>
      <c r="E11" s="4">
        <v>882</v>
      </c>
      <c r="F11" s="4">
        <v>2275</v>
      </c>
      <c r="G11" s="4">
        <v>147</v>
      </c>
      <c r="H11" s="4">
        <v>143</v>
      </c>
      <c r="I11" s="4">
        <v>281</v>
      </c>
      <c r="J11" s="4">
        <v>34</v>
      </c>
      <c r="K11" s="8">
        <f>SUM(C11:J11)</f>
        <v>4612</v>
      </c>
      <c r="N11">
        <v>82</v>
      </c>
      <c r="O11">
        <v>127919</v>
      </c>
      <c r="P11">
        <v>0.23212966844322017</v>
      </c>
      <c r="Q11">
        <v>0.23271201117724963</v>
      </c>
      <c r="R11">
        <v>3.5864033774477513E-2</v>
      </c>
      <c r="S11">
        <v>3.595400572688507E-2</v>
      </c>
    </row>
    <row r="12" spans="2:19" ht="18.5" x14ac:dyDescent="0.45">
      <c r="B12" s="3" t="s">
        <v>4</v>
      </c>
      <c r="C12" s="4">
        <v>4425</v>
      </c>
      <c r="D12" s="4">
        <v>3141</v>
      </c>
      <c r="E12" s="4">
        <v>8596</v>
      </c>
      <c r="F12" s="4">
        <v>17072</v>
      </c>
      <c r="G12" s="4">
        <v>1222</v>
      </c>
      <c r="H12" s="4">
        <v>947</v>
      </c>
      <c r="I12" s="4">
        <v>1620</v>
      </c>
      <c r="J12" s="4">
        <v>201</v>
      </c>
      <c r="K12" s="6"/>
      <c r="N12">
        <v>9</v>
      </c>
      <c r="O12">
        <v>47965</v>
      </c>
      <c r="P12">
        <v>8.704023285734766E-2</v>
      </c>
      <c r="Q12">
        <v>8.7258590327604024E-2</v>
      </c>
      <c r="R12">
        <v>1.2411937205457777E-2</v>
      </c>
      <c r="S12">
        <v>1.2443074980716335E-2</v>
      </c>
    </row>
    <row r="13" spans="2:19" ht="18.5" x14ac:dyDescent="0.45">
      <c r="B13" s="3" t="s">
        <v>5</v>
      </c>
      <c r="C13" s="4">
        <v>3975</v>
      </c>
      <c r="D13" s="4">
        <v>2152</v>
      </c>
      <c r="E13" s="4">
        <v>7389</v>
      </c>
      <c r="F13" s="4">
        <v>14178</v>
      </c>
      <c r="G13" s="4">
        <v>1065</v>
      </c>
      <c r="H13" s="4">
        <v>766</v>
      </c>
      <c r="I13" s="4">
        <v>1375</v>
      </c>
      <c r="J13" s="4">
        <v>192</v>
      </c>
      <c r="K13" s="6"/>
      <c r="N13">
        <v>10</v>
      </c>
      <c r="O13">
        <v>25589</v>
      </c>
      <c r="P13">
        <v>4.6435369927794623E-2</v>
      </c>
      <c r="Q13">
        <v>4.6551862147254444E-2</v>
      </c>
      <c r="R13">
        <v>9.0363229879488333E-3</v>
      </c>
      <c r="S13">
        <v>9.0589923738557138E-3</v>
      </c>
    </row>
    <row r="14" spans="2:19" ht="18.5" x14ac:dyDescent="0.45">
      <c r="B14" s="3" t="s">
        <v>6</v>
      </c>
      <c r="C14" s="4">
        <v>450</v>
      </c>
      <c r="D14" s="4">
        <v>989</v>
      </c>
      <c r="E14" s="4">
        <v>1207</v>
      </c>
      <c r="F14" s="4">
        <v>2894</v>
      </c>
      <c r="G14" s="4">
        <v>157</v>
      </c>
      <c r="H14" s="4">
        <v>181</v>
      </c>
      <c r="I14" s="4">
        <v>245</v>
      </c>
      <c r="J14" s="4">
        <v>9</v>
      </c>
      <c r="K14" s="6"/>
      <c r="N14">
        <v>11</v>
      </c>
      <c r="O14">
        <v>19058</v>
      </c>
      <c r="P14">
        <v>3.4583816486924455E-2</v>
      </c>
      <c r="Q14">
        <v>3.4670576763545902E-2</v>
      </c>
      <c r="R14">
        <v>6.9997644569535101E-3</v>
      </c>
      <c r="S14">
        <v>7.0173247369416832E-3</v>
      </c>
    </row>
    <row r="15" spans="2:19" ht="18.5" x14ac:dyDescent="0.45">
      <c r="B15" s="3" t="s">
        <v>7</v>
      </c>
      <c r="C15" s="5">
        <f>C14/C13</f>
        <v>0.11320754716981132</v>
      </c>
      <c r="D15" s="5">
        <f t="shared" ref="D15:J15" si="1">D14/D13</f>
        <v>0.45957249070631973</v>
      </c>
      <c r="E15" s="5">
        <f t="shared" si="1"/>
        <v>0.16335092705372853</v>
      </c>
      <c r="F15" s="5">
        <f t="shared" si="1"/>
        <v>0.20411905769502045</v>
      </c>
      <c r="G15" s="5">
        <f t="shared" si="1"/>
        <v>0.14741784037558686</v>
      </c>
      <c r="H15" s="5">
        <f t="shared" si="1"/>
        <v>0.23629242819843341</v>
      </c>
      <c r="I15" s="5">
        <f t="shared" si="1"/>
        <v>0.17818181818181819</v>
      </c>
      <c r="J15" s="5">
        <f t="shared" si="1"/>
        <v>4.6875E-2</v>
      </c>
      <c r="K15" s="6">
        <f>((C15*Q22)+(D15*Q23)+(E15*Q24)+(F15*Q25)+(G15*Q26)+(H15*Q27)+(I15*Q28)+(J15*Q29))/(Q22+Q23+Q24+Q25+Q26+Q27+Q28+Q29)</f>
        <v>0.25371123127610223</v>
      </c>
      <c r="N15">
        <v>12</v>
      </c>
      <c r="O15">
        <v>10447</v>
      </c>
      <c r="P15">
        <v>1.8957767385816969E-2</v>
      </c>
      <c r="Q15">
        <v>1.9005326658031466E-2</v>
      </c>
      <c r="R15">
        <v>1.6038271208401154E-3</v>
      </c>
      <c r="S15">
        <v>1.6078506352694619E-3</v>
      </c>
    </row>
    <row r="16" spans="2:19" ht="23.5" x14ac:dyDescent="0.55000000000000004">
      <c r="B16" s="12">
        <v>2023</v>
      </c>
      <c r="C16" s="13"/>
      <c r="D16" s="13"/>
      <c r="E16" s="13"/>
      <c r="F16" s="13"/>
      <c r="G16" s="13"/>
      <c r="H16" s="13"/>
      <c r="I16" s="13"/>
      <c r="J16" s="13"/>
      <c r="K16" s="14"/>
      <c r="N16">
        <v>13</v>
      </c>
      <c r="O16">
        <v>84</v>
      </c>
      <c r="P16">
        <v>1.5243155550958412E-4</v>
      </c>
    </row>
    <row r="17" spans="2:19" ht="18.5" x14ac:dyDescent="0.45">
      <c r="B17" s="1" t="s">
        <v>0</v>
      </c>
      <c r="C17" s="2">
        <v>6</v>
      </c>
      <c r="D17" s="2">
        <v>7</v>
      </c>
      <c r="E17" s="2" t="s">
        <v>1</v>
      </c>
      <c r="F17" s="2" t="s">
        <v>2</v>
      </c>
      <c r="G17" s="2">
        <v>9</v>
      </c>
      <c r="H17" s="2">
        <v>10</v>
      </c>
      <c r="I17" s="2">
        <v>11</v>
      </c>
      <c r="J17" s="2">
        <v>12</v>
      </c>
      <c r="K17" s="2" t="s">
        <v>18</v>
      </c>
      <c r="O17">
        <v>551067</v>
      </c>
      <c r="Q17">
        <v>549688</v>
      </c>
      <c r="R17">
        <v>0.17304586411452696</v>
      </c>
      <c r="S17">
        <v>0.17347998355430719</v>
      </c>
    </row>
    <row r="18" spans="2:19" ht="18.5" x14ac:dyDescent="0.45">
      <c r="B18" s="3" t="s">
        <v>3</v>
      </c>
      <c r="C18" s="4">
        <v>194</v>
      </c>
      <c r="D18" s="4">
        <v>252</v>
      </c>
      <c r="E18" s="4">
        <v>223</v>
      </c>
      <c r="F18" s="4">
        <v>442</v>
      </c>
      <c r="G18" s="4">
        <v>104</v>
      </c>
      <c r="H18" s="4">
        <v>81</v>
      </c>
      <c r="I18" s="4">
        <v>52</v>
      </c>
      <c r="J18" s="4">
        <v>34</v>
      </c>
      <c r="K18" s="8">
        <f>SUM(C18:J18)</f>
        <v>1382</v>
      </c>
      <c r="N18" t="s">
        <v>16</v>
      </c>
    </row>
    <row r="19" spans="2:19" ht="18.5" x14ac:dyDescent="0.45">
      <c r="B19" s="3" t="s">
        <v>4</v>
      </c>
      <c r="C19" s="4">
        <v>980</v>
      </c>
      <c r="D19" s="4">
        <v>2378</v>
      </c>
      <c r="E19" s="4">
        <v>1553</v>
      </c>
      <c r="F19" s="4">
        <v>3063</v>
      </c>
      <c r="G19" s="4">
        <v>674</v>
      </c>
      <c r="H19" s="4">
        <v>483</v>
      </c>
      <c r="I19" s="4">
        <v>323</v>
      </c>
      <c r="J19" s="4">
        <v>129</v>
      </c>
      <c r="K19" s="6"/>
      <c r="N19" t="s">
        <v>10</v>
      </c>
      <c r="O19" t="s">
        <v>11</v>
      </c>
      <c r="P19" t="s">
        <v>12</v>
      </c>
      <c r="Q19" t="s">
        <v>13</v>
      </c>
      <c r="R19" t="s">
        <v>14</v>
      </c>
      <c r="S19" t="s">
        <v>15</v>
      </c>
    </row>
    <row r="20" spans="2:19" ht="18.5" x14ac:dyDescent="0.45">
      <c r="B20" s="3" t="s">
        <v>5</v>
      </c>
      <c r="C20" s="4">
        <v>818</v>
      </c>
      <c r="D20" s="4">
        <v>1932</v>
      </c>
      <c r="E20" s="4">
        <v>1198</v>
      </c>
      <c r="F20" s="4">
        <v>2204</v>
      </c>
      <c r="G20" s="4">
        <v>610</v>
      </c>
      <c r="H20" s="4">
        <v>291</v>
      </c>
      <c r="I20" s="4">
        <v>239</v>
      </c>
      <c r="J20" s="4">
        <v>105</v>
      </c>
      <c r="K20" s="6"/>
      <c r="N20">
        <v>4</v>
      </c>
      <c r="O20">
        <v>274</v>
      </c>
      <c r="P20">
        <v>5.2388053994111125E-4</v>
      </c>
    </row>
    <row r="21" spans="2:19" ht="18.5" x14ac:dyDescent="0.45">
      <c r="B21" s="3" t="s">
        <v>6</v>
      </c>
      <c r="C21" s="4">
        <v>162</v>
      </c>
      <c r="D21" s="4">
        <v>446</v>
      </c>
      <c r="E21" s="4">
        <v>355</v>
      </c>
      <c r="F21" s="4">
        <v>859</v>
      </c>
      <c r="G21" s="4">
        <v>64</v>
      </c>
      <c r="H21" s="4">
        <v>192</v>
      </c>
      <c r="I21" s="4">
        <v>84</v>
      </c>
      <c r="J21" s="4">
        <v>24</v>
      </c>
      <c r="K21" s="6"/>
      <c r="N21">
        <v>5</v>
      </c>
      <c r="O21">
        <v>1609</v>
      </c>
      <c r="P21">
        <v>3.0763641925738976E-3</v>
      </c>
    </row>
    <row r="22" spans="2:19" ht="18.5" x14ac:dyDescent="0.45">
      <c r="B22" s="3" t="s">
        <v>7</v>
      </c>
      <c r="C22" s="5">
        <f>C21/C20</f>
        <v>0.1980440097799511</v>
      </c>
      <c r="D22" s="5">
        <f t="shared" ref="D22:J22" si="2">D21/D20</f>
        <v>0.2308488612836439</v>
      </c>
      <c r="E22" s="5">
        <f t="shared" si="2"/>
        <v>0.29632721202003337</v>
      </c>
      <c r="F22" s="5">
        <f t="shared" si="2"/>
        <v>0.3897459165154265</v>
      </c>
      <c r="G22" s="5">
        <f t="shared" si="2"/>
        <v>0.10491803278688525</v>
      </c>
      <c r="H22" s="5">
        <f t="shared" si="2"/>
        <v>0.65979381443298968</v>
      </c>
      <c r="I22" s="5">
        <f t="shared" si="2"/>
        <v>0.35146443514644349</v>
      </c>
      <c r="J22" s="5">
        <f t="shared" si="2"/>
        <v>0.22857142857142856</v>
      </c>
      <c r="K22" s="6">
        <f>((C22*Q36)+(D22*Q37)+(E22*Q38)+(F22*Q39)+(G22*Q40)+(H22*Q41)+(I22*Q42)+(J22*Q43))/(Q36+Q37+Q38+Q39+Q40+Q41+Q42+Q43)</f>
        <v>0.28305922041698339</v>
      </c>
      <c r="N22">
        <v>6</v>
      </c>
      <c r="O22">
        <v>42442</v>
      </c>
      <c r="P22">
        <v>8.1147948453214019E-2</v>
      </c>
      <c r="Q22">
        <v>8.1452722607439021E-2</v>
      </c>
      <c r="R22">
        <v>8.5773381515047223E-3</v>
      </c>
      <c r="S22">
        <v>8.6095527796063043E-3</v>
      </c>
    </row>
    <row r="23" spans="2:19" ht="18.5" x14ac:dyDescent="0.45">
      <c r="B23" s="9"/>
      <c r="C23" s="10"/>
      <c r="D23" s="10"/>
      <c r="E23" s="10"/>
      <c r="F23" s="10"/>
      <c r="G23" s="10"/>
      <c r="H23" s="10"/>
      <c r="I23" s="10"/>
      <c r="J23" s="10"/>
      <c r="K23" s="11"/>
      <c r="N23">
        <v>7</v>
      </c>
      <c r="O23">
        <v>152657</v>
      </c>
      <c r="P23">
        <v>0.29187602768536575</v>
      </c>
      <c r="Q23">
        <v>0.29297225095621837</v>
      </c>
      <c r="R23">
        <v>6.7364987189782413E-2</v>
      </c>
      <c r="S23">
        <v>6.7617995520695195E-2</v>
      </c>
    </row>
    <row r="24" spans="2:19" ht="18.5" x14ac:dyDescent="0.45">
      <c r="B24" s="3" t="s">
        <v>8</v>
      </c>
      <c r="C24" s="6">
        <f>((C8*C4)+(C15*C11)+(C22*C18))/(C18+C11+C4)</f>
        <v>0.13596409712756863</v>
      </c>
      <c r="D24" s="6">
        <f t="shared" ref="D24:J24" si="3">((D8*D4)+(D15*D11)+(D22*D18))/(D18+D11+D4)</f>
        <v>0.35901330816539823</v>
      </c>
      <c r="E24" s="6">
        <f t="shared" si="3"/>
        <v>0.17886928173509292</v>
      </c>
      <c r="F24" s="6">
        <f t="shared" si="3"/>
        <v>0.2107872278859747</v>
      </c>
      <c r="G24" s="6">
        <f t="shared" si="3"/>
        <v>0.15209407207767761</v>
      </c>
      <c r="H24" s="6">
        <f t="shared" si="3"/>
        <v>0.32517909927895516</v>
      </c>
      <c r="I24" s="6">
        <f t="shared" si="3"/>
        <v>0.20663302519086288</v>
      </c>
      <c r="J24" s="6">
        <f t="shared" si="3"/>
        <v>0.12184561572448172</v>
      </c>
      <c r="K24" s="6">
        <f>((K8*K4)+(K15*K11)+(K22*K18))/(K4+K11+K18)</f>
        <v>0.24333681453269529</v>
      </c>
      <c r="N24">
        <v>81</v>
      </c>
      <c r="O24">
        <v>111940</v>
      </c>
      <c r="P24">
        <v>0.21402623226645254</v>
      </c>
      <c r="Q24">
        <v>0.2148300685329797</v>
      </c>
      <c r="R24">
        <v>3.3730534205192918E-2</v>
      </c>
      <c r="S24">
        <v>3.3857218800797596E-2</v>
      </c>
    </row>
    <row r="25" spans="2:19" x14ac:dyDescent="0.35">
      <c r="N25">
        <v>82</v>
      </c>
      <c r="O25">
        <v>99844</v>
      </c>
      <c r="P25">
        <v>0.19089900959810333</v>
      </c>
      <c r="Q25">
        <v>0.19161598501524768</v>
      </c>
      <c r="R25">
        <v>3.7187127069710529E-2</v>
      </c>
      <c r="S25">
        <v>3.7326793880970245E-2</v>
      </c>
    </row>
    <row r="26" spans="2:19" x14ac:dyDescent="0.35">
      <c r="N26">
        <v>9</v>
      </c>
      <c r="O26">
        <v>52767</v>
      </c>
      <c r="P26">
        <v>0.10088906733968109</v>
      </c>
      <c r="Q26">
        <v>0.10126798486939199</v>
      </c>
      <c r="R26">
        <v>1.4225358494895032E-2</v>
      </c>
      <c r="S26">
        <v>1.427878586658427E-2</v>
      </c>
    </row>
    <row r="27" spans="2:19" x14ac:dyDescent="0.35">
      <c r="N27">
        <v>10</v>
      </c>
      <c r="O27">
        <v>26877</v>
      </c>
      <c r="P27">
        <v>5.1388092233566593E-2</v>
      </c>
      <c r="Q27">
        <v>5.1581094800436801E-2</v>
      </c>
      <c r="R27">
        <v>1.1978564299644372E-2</v>
      </c>
      <c r="S27">
        <v>1.2023553197981818E-2</v>
      </c>
    </row>
    <row r="28" spans="2:19" x14ac:dyDescent="0.35">
      <c r="N28">
        <v>11</v>
      </c>
      <c r="O28">
        <v>21505</v>
      </c>
      <c r="P28">
        <v>4.1116974494283198E-2</v>
      </c>
      <c r="Q28">
        <v>4.1271400963031342E-2</v>
      </c>
      <c r="R28">
        <v>6.5293755496921716E-3</v>
      </c>
      <c r="S28">
        <v>6.5538984729293769E-3</v>
      </c>
    </row>
    <row r="29" spans="2:19" x14ac:dyDescent="0.35">
      <c r="N29">
        <v>12</v>
      </c>
      <c r="O29">
        <v>13031</v>
      </c>
      <c r="P29">
        <v>2.4914917211578905E-2</v>
      </c>
      <c r="Q29">
        <v>2.5008492255255123E-2</v>
      </c>
      <c r="R29">
        <v>1.1685096172230505E-3</v>
      </c>
      <c r="S29">
        <v>1.1728982867714652E-3</v>
      </c>
    </row>
    <row r="30" spans="2:19" x14ac:dyDescent="0.35">
      <c r="N30">
        <v>13</v>
      </c>
      <c r="O30">
        <v>74</v>
      </c>
      <c r="P30">
        <v>1.4148598523957019E-4</v>
      </c>
      <c r="R30">
        <v>0.18076179457764524</v>
      </c>
      <c r="S30">
        <v>0.18144069680633626</v>
      </c>
    </row>
    <row r="31" spans="2:19" x14ac:dyDescent="0.35">
      <c r="Q31">
        <v>521063</v>
      </c>
    </row>
    <row r="32" spans="2:19" x14ac:dyDescent="0.35">
      <c r="N32" t="s">
        <v>17</v>
      </c>
    </row>
    <row r="33" spans="14:19" x14ac:dyDescent="0.35">
      <c r="N33" t="s">
        <v>10</v>
      </c>
      <c r="O33" t="s">
        <v>11</v>
      </c>
      <c r="P33" t="s">
        <v>12</v>
      </c>
      <c r="Q33" t="s">
        <v>13</v>
      </c>
      <c r="R33" t="s">
        <v>14</v>
      </c>
      <c r="S33" t="s">
        <v>15</v>
      </c>
    </row>
    <row r="34" spans="14:19" x14ac:dyDescent="0.35">
      <c r="N34">
        <v>4</v>
      </c>
      <c r="O34">
        <v>298</v>
      </c>
      <c r="P34">
        <v>6.1010064613343596E-4</v>
      </c>
    </row>
    <row r="35" spans="14:19" x14ac:dyDescent="0.35">
      <c r="N35">
        <v>5</v>
      </c>
      <c r="O35">
        <v>1612</v>
      </c>
      <c r="P35">
        <v>3.3002759784130833E-3</v>
      </c>
    </row>
    <row r="36" spans="14:19" x14ac:dyDescent="0.35">
      <c r="N36">
        <v>6</v>
      </c>
      <c r="O36">
        <v>38162</v>
      </c>
      <c r="P36">
        <v>7.8129734421960348E-2</v>
      </c>
      <c r="Q36">
        <v>7.8442254644417855E-2</v>
      </c>
      <c r="R36">
        <v>1.28054634717593E-2</v>
      </c>
      <c r="S36">
        <v>1.2856685536220085E-2</v>
      </c>
    </row>
    <row r="37" spans="14:19" x14ac:dyDescent="0.35">
      <c r="N37">
        <v>7</v>
      </c>
      <c r="O37">
        <v>165301</v>
      </c>
      <c r="P37">
        <v>0.33842364733725872</v>
      </c>
      <c r="Q37">
        <v>0.33977734749166494</v>
      </c>
      <c r="R37">
        <v>6.1390049626978735E-2</v>
      </c>
      <c r="S37">
        <v>6.1635610834988024E-2</v>
      </c>
    </row>
    <row r="38" spans="14:19" x14ac:dyDescent="0.35">
      <c r="N38">
        <v>81</v>
      </c>
      <c r="O38">
        <v>81821</v>
      </c>
      <c r="P38">
        <v>0.16751357371571768</v>
      </c>
      <c r="Q38">
        <v>0.168183630765183</v>
      </c>
      <c r="R38">
        <v>4.7657611722121677E-2</v>
      </c>
      <c r="S38">
        <v>4.7848242952694561E-2</v>
      </c>
    </row>
    <row r="39" spans="14:19" x14ac:dyDescent="0.35">
      <c r="N39">
        <v>82</v>
      </c>
      <c r="O39">
        <v>93105</v>
      </c>
      <c r="P39">
        <v>0.19061550556460924</v>
      </c>
      <c r="Q39">
        <v>0.19137797072136001</v>
      </c>
      <c r="R39">
        <v>7.2891369327906574E-2</v>
      </c>
      <c r="S39">
        <v>7.3182936003847912E-2</v>
      </c>
    </row>
    <row r="40" spans="14:19" x14ac:dyDescent="0.35">
      <c r="N40">
        <v>9</v>
      </c>
      <c r="O40">
        <v>49326</v>
      </c>
      <c r="P40">
        <v>0.10098598815831497</v>
      </c>
      <c r="Q40">
        <v>0.10138993377156741</v>
      </c>
      <c r="R40">
        <v>8.4424286100351301E-3</v>
      </c>
      <c r="S40">
        <v>8.4761984633030356E-3</v>
      </c>
    </row>
    <row r="41" spans="14:19" x14ac:dyDescent="0.35">
      <c r="N41">
        <v>10</v>
      </c>
      <c r="O41">
        <v>23912</v>
      </c>
      <c r="P41">
        <v>4.8955458558197051E-2</v>
      </c>
      <c r="Q41">
        <v>4.9151281197456105E-2</v>
      </c>
      <c r="R41">
        <v>3.1747614874990789E-2</v>
      </c>
      <c r="S41">
        <v>3.1874605856550282E-2</v>
      </c>
    </row>
    <row r="42" spans="14:19" x14ac:dyDescent="0.35">
      <c r="N42">
        <v>11</v>
      </c>
      <c r="O42">
        <v>20625</v>
      </c>
      <c r="P42">
        <v>4.2225925592288986E-2</v>
      </c>
      <c r="Q42">
        <v>4.2394829989023594E-2</v>
      </c>
      <c r="R42">
        <v>1.3900774704981534E-2</v>
      </c>
      <c r="S42">
        <v>1.3956378032386568E-2</v>
      </c>
    </row>
    <row r="43" spans="14:19" x14ac:dyDescent="0.35">
      <c r="N43">
        <v>12</v>
      </c>
      <c r="O43">
        <v>14246</v>
      </c>
      <c r="P43">
        <v>2.9166086593345398E-2</v>
      </c>
      <c r="Q43">
        <v>2.928275141932752E-2</v>
      </c>
      <c r="R43">
        <v>4.4274119448698308E-3</v>
      </c>
      <c r="S43">
        <v>4.4451216654539175E-3</v>
      </c>
    </row>
    <row r="44" spans="14:19" x14ac:dyDescent="0.35">
      <c r="N44">
        <v>13</v>
      </c>
      <c r="O44">
        <v>36</v>
      </c>
      <c r="P44">
        <v>7.3703433761086222E-5</v>
      </c>
      <c r="R44">
        <v>0.25326272428364355</v>
      </c>
      <c r="S44">
        <v>0.25427577934544437</v>
      </c>
    </row>
    <row r="45" spans="14:19" x14ac:dyDescent="0.35">
      <c r="Q45">
        <v>486498</v>
      </c>
    </row>
  </sheetData>
  <mergeCells count="4">
    <mergeCell ref="B23:K23"/>
    <mergeCell ref="B2:K2"/>
    <mergeCell ref="B9:K9"/>
    <mergeCell ref="B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52DDD3-D743-44CA-B011-5B0B68183D35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customXml/itemProps2.xml><?xml version="1.0" encoding="utf-8"?>
<ds:datastoreItem xmlns:ds="http://schemas.openxmlformats.org/officeDocument/2006/customXml" ds:itemID="{247E4785-C9BB-4427-9CEF-4369BF1147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238017-20F0-4F9F-B54A-16FF2CF9FAD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 Only Data</vt:lpstr>
      <vt:lpstr>Summer + MA7 Winter (Sept)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Bosley, Katelyn M (DFW)</cp:lastModifiedBy>
  <dcterms:created xsi:type="dcterms:W3CDTF">2026-01-12T18:07:41Z</dcterms:created>
  <dcterms:modified xsi:type="dcterms:W3CDTF">2026-10-02T20:23:01Z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  <property fmtid="{D5CDD505-2E9C-101B-9397-08002B2CF9AE}" pid="3" name="MediaServiceImageTags">
    <vt:lpwstr/>
  </property>
</Properties>
</file>