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Leads/Shared Documents/Quota Sheets/Crab/2025-2026/Rec Estimate files/"/>
    </mc:Choice>
  </mc:AlternateContent>
  <xr:revisionPtr revIDLastSave="306" documentId="11_02722A8C912645D94045EE2D49FEB8A040813E87" xr6:coauthVersionLast="47" xr6:coauthVersionMax="47" xr10:uidLastSave="{84DAA1FC-67AE-4E42-BFE4-36FA564D27D4}"/>
  <bookViews>
    <workbookView xWindow="-120" yWindow="-120" windowWidth="29040" windowHeight="15720" activeTab="1" xr2:uid="{00000000-000D-0000-FFFF-FFFF00000000}"/>
  </bookViews>
  <sheets>
    <sheet name="Summer" sheetId="1" r:id="rId1"/>
    <sheet name="Win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4" i="2" l="1"/>
  <c r="AC14" i="2" s="1"/>
  <c r="AE14" i="2" s="1"/>
  <c r="AA14" i="2"/>
  <c r="Z14" i="2"/>
  <c r="Y14" i="2"/>
  <c r="X14" i="2"/>
  <c r="AB13" i="2"/>
  <c r="AA13" i="2"/>
  <c r="Z13" i="2"/>
  <c r="Y13" i="2"/>
  <c r="X13" i="2"/>
  <c r="AC13" i="2" s="1"/>
  <c r="AE13" i="2" s="1"/>
  <c r="AB12" i="2"/>
  <c r="AA12" i="2"/>
  <c r="Z12" i="2"/>
  <c r="Y12" i="2"/>
  <c r="X12" i="2"/>
  <c r="AC12" i="2" s="1"/>
  <c r="AE12" i="2" s="1"/>
  <c r="AB11" i="2"/>
  <c r="AA11" i="2"/>
  <c r="Z11" i="2"/>
  <c r="Y11" i="2"/>
  <c r="AC11" i="2" s="1"/>
  <c r="AE11" i="2" s="1"/>
  <c r="X11" i="2"/>
  <c r="AB10" i="2"/>
  <c r="AA10" i="2"/>
  <c r="Z10" i="2"/>
  <c r="Y10" i="2"/>
  <c r="X10" i="2"/>
  <c r="AC10" i="2" s="1"/>
  <c r="AE10" i="2" s="1"/>
  <c r="AB9" i="2"/>
  <c r="AA9" i="2"/>
  <c r="AC9" i="2" s="1"/>
  <c r="AE9" i="2" s="1"/>
  <c r="Z9" i="2"/>
  <c r="Y9" i="2"/>
  <c r="X9" i="2"/>
  <c r="AB8" i="2"/>
  <c r="AA8" i="2"/>
  <c r="Z8" i="2"/>
  <c r="Y8" i="2"/>
  <c r="X8" i="2"/>
  <c r="AC8" i="2" s="1"/>
  <c r="AE8" i="2" s="1"/>
  <c r="AC7" i="2"/>
  <c r="AE7" i="2" s="1"/>
  <c r="AB7" i="2"/>
  <c r="AA7" i="2"/>
  <c r="Z7" i="2"/>
  <c r="Y7" i="2"/>
  <c r="X7" i="2"/>
  <c r="AB6" i="2"/>
  <c r="AA6" i="2"/>
  <c r="Z6" i="2"/>
  <c r="Y6" i="2"/>
  <c r="Y15" i="2" s="1"/>
  <c r="X6" i="2"/>
  <c r="AC6" i="2" s="1"/>
  <c r="AE6" i="2" s="1"/>
  <c r="AB5" i="2"/>
  <c r="AA5" i="2"/>
  <c r="Z5" i="2"/>
  <c r="Y5" i="2"/>
  <c r="X5" i="2"/>
  <c r="AC5" i="2" s="1"/>
  <c r="AE5" i="2" s="1"/>
  <c r="AB4" i="2"/>
  <c r="AB15" i="2" s="1"/>
  <c r="AA4" i="2"/>
  <c r="AA15" i="2" s="1"/>
  <c r="Z4" i="2"/>
  <c r="Z15" i="2" s="1"/>
  <c r="Y4" i="2"/>
  <c r="X4" i="2"/>
  <c r="AE15" i="1"/>
  <c r="AC15" i="1"/>
  <c r="AC5" i="1"/>
  <c r="AC6" i="1"/>
  <c r="Y4" i="1"/>
  <c r="AC4" i="1" s="1"/>
  <c r="Z4" i="1"/>
  <c r="AA4" i="1"/>
  <c r="AB4" i="1"/>
  <c r="Y5" i="1"/>
  <c r="Z5" i="1"/>
  <c r="AA5" i="1"/>
  <c r="AB5" i="1"/>
  <c r="Y6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X14" i="1"/>
  <c r="AC14" i="1" s="1"/>
  <c r="X13" i="1"/>
  <c r="AC13" i="1" s="1"/>
  <c r="X12" i="1"/>
  <c r="AC12" i="1" s="1"/>
  <c r="X11" i="1"/>
  <c r="AC11" i="1" s="1"/>
  <c r="X10" i="1"/>
  <c r="AC10" i="1" s="1"/>
  <c r="X9" i="1"/>
  <c r="AC9" i="1" s="1"/>
  <c r="X8" i="1"/>
  <c r="AC8" i="1" s="1"/>
  <c r="X7" i="1"/>
  <c r="AC7" i="1" s="1"/>
  <c r="X6" i="1"/>
  <c r="X5" i="1"/>
  <c r="X4" i="1"/>
  <c r="N4" i="1"/>
  <c r="O4" i="1"/>
  <c r="P4" i="1"/>
  <c r="R4" i="1"/>
  <c r="S4" i="1"/>
  <c r="T4" i="1"/>
  <c r="N5" i="1"/>
  <c r="O5" i="1"/>
  <c r="P5" i="1"/>
  <c r="R5" i="1"/>
  <c r="S5" i="1"/>
  <c r="T5" i="1"/>
  <c r="N6" i="1"/>
  <c r="O6" i="1"/>
  <c r="P6" i="1"/>
  <c r="R6" i="1"/>
  <c r="S6" i="1"/>
  <c r="T6" i="1"/>
  <c r="N7" i="1"/>
  <c r="O7" i="1"/>
  <c r="P7" i="1"/>
  <c r="R7" i="1"/>
  <c r="S7" i="1"/>
  <c r="T7" i="1"/>
  <c r="N8" i="1"/>
  <c r="O8" i="1"/>
  <c r="P8" i="1"/>
  <c r="R8" i="1"/>
  <c r="S8" i="1"/>
  <c r="T8" i="1"/>
  <c r="N9" i="1"/>
  <c r="O9" i="1"/>
  <c r="P9" i="1"/>
  <c r="R9" i="1"/>
  <c r="S9" i="1"/>
  <c r="T9" i="1"/>
  <c r="N10" i="1"/>
  <c r="O10" i="1"/>
  <c r="P10" i="1"/>
  <c r="R10" i="1"/>
  <c r="S10" i="1"/>
  <c r="T10" i="1"/>
  <c r="N11" i="1"/>
  <c r="O11" i="1"/>
  <c r="P11" i="1"/>
  <c r="R11" i="1"/>
  <c r="S11" i="1"/>
  <c r="T11" i="1"/>
  <c r="N12" i="1"/>
  <c r="O12" i="1"/>
  <c r="P12" i="1"/>
  <c r="R12" i="1"/>
  <c r="S12" i="1"/>
  <c r="T12" i="1"/>
  <c r="N13" i="1"/>
  <c r="O13" i="1"/>
  <c r="P13" i="1"/>
  <c r="R13" i="1"/>
  <c r="S13" i="1"/>
  <c r="T13" i="1"/>
  <c r="N14" i="1"/>
  <c r="O14" i="1"/>
  <c r="P14" i="1"/>
  <c r="R14" i="1"/>
  <c r="S14" i="1"/>
  <c r="T14" i="1"/>
  <c r="N15" i="1"/>
  <c r="O15" i="1"/>
  <c r="P15" i="1"/>
  <c r="R15" i="1"/>
  <c r="S15" i="1"/>
  <c r="T15" i="1"/>
  <c r="N16" i="1"/>
  <c r="O16" i="1"/>
  <c r="P16" i="1"/>
  <c r="R16" i="1"/>
  <c r="S16" i="1"/>
  <c r="T16" i="1"/>
  <c r="N17" i="1"/>
  <c r="O17" i="1"/>
  <c r="P17" i="1"/>
  <c r="R17" i="1"/>
  <c r="S17" i="1"/>
  <c r="T17" i="1"/>
  <c r="N18" i="1"/>
  <c r="O18" i="1"/>
  <c r="P18" i="1"/>
  <c r="R18" i="1"/>
  <c r="S18" i="1"/>
  <c r="T18" i="1"/>
  <c r="N19" i="1"/>
  <c r="O19" i="1"/>
  <c r="P19" i="1"/>
  <c r="R19" i="1"/>
  <c r="S19" i="1"/>
  <c r="T19" i="1"/>
  <c r="AC4" i="2" l="1"/>
  <c r="X15" i="2"/>
  <c r="N20" i="1"/>
  <c r="R20" i="1"/>
  <c r="P20" i="1"/>
  <c r="O20" i="1"/>
  <c r="T20" i="1"/>
  <c r="S20" i="1"/>
  <c r="T19" i="2"/>
  <c r="S19" i="2"/>
  <c r="R19" i="2"/>
  <c r="P19" i="2"/>
  <c r="O19" i="2"/>
  <c r="N19" i="2"/>
  <c r="T18" i="2"/>
  <c r="S18" i="2"/>
  <c r="R18" i="2"/>
  <c r="P18" i="2"/>
  <c r="O18" i="2"/>
  <c r="N18" i="2"/>
  <c r="T17" i="2"/>
  <c r="S17" i="2"/>
  <c r="R17" i="2"/>
  <c r="P17" i="2"/>
  <c r="O17" i="2"/>
  <c r="N17" i="2"/>
  <c r="T16" i="2"/>
  <c r="S16" i="2"/>
  <c r="R16" i="2"/>
  <c r="P16" i="2"/>
  <c r="O16" i="2"/>
  <c r="N16" i="2"/>
  <c r="T15" i="2"/>
  <c r="S15" i="2"/>
  <c r="R15" i="2"/>
  <c r="P15" i="2"/>
  <c r="O15" i="2"/>
  <c r="N15" i="2"/>
  <c r="T14" i="2"/>
  <c r="S14" i="2"/>
  <c r="R14" i="2"/>
  <c r="P14" i="2"/>
  <c r="O14" i="2"/>
  <c r="N14" i="2"/>
  <c r="T13" i="2"/>
  <c r="S13" i="2"/>
  <c r="R13" i="2"/>
  <c r="P13" i="2"/>
  <c r="O13" i="2"/>
  <c r="N13" i="2"/>
  <c r="T12" i="2"/>
  <c r="S12" i="2"/>
  <c r="R12" i="2"/>
  <c r="P12" i="2"/>
  <c r="O12" i="2"/>
  <c r="N12" i="2"/>
  <c r="T11" i="2"/>
  <c r="S11" i="2"/>
  <c r="R11" i="2"/>
  <c r="P11" i="2"/>
  <c r="O11" i="2"/>
  <c r="N11" i="2"/>
  <c r="T10" i="2"/>
  <c r="S10" i="2"/>
  <c r="R10" i="2"/>
  <c r="P10" i="2"/>
  <c r="O10" i="2"/>
  <c r="N10" i="2"/>
  <c r="T9" i="2"/>
  <c r="S9" i="2"/>
  <c r="R9" i="2"/>
  <c r="P9" i="2"/>
  <c r="O9" i="2"/>
  <c r="N9" i="2"/>
  <c r="T8" i="2"/>
  <c r="S8" i="2"/>
  <c r="R8" i="2"/>
  <c r="P8" i="2"/>
  <c r="O8" i="2"/>
  <c r="N8" i="2"/>
  <c r="T7" i="2"/>
  <c r="S7" i="2"/>
  <c r="R7" i="2"/>
  <c r="P7" i="2"/>
  <c r="O7" i="2"/>
  <c r="N7" i="2"/>
  <c r="T6" i="2"/>
  <c r="S6" i="2"/>
  <c r="R6" i="2"/>
  <c r="P6" i="2"/>
  <c r="O6" i="2"/>
  <c r="N6" i="2"/>
  <c r="T5" i="2"/>
  <c r="S5" i="2"/>
  <c r="R5" i="2"/>
  <c r="P5" i="2"/>
  <c r="O5" i="2"/>
  <c r="N5" i="2"/>
  <c r="N20" i="2" s="1"/>
  <c r="T4" i="2"/>
  <c r="S4" i="2"/>
  <c r="R4" i="2"/>
  <c r="P4" i="2"/>
  <c r="P20" i="2" s="1"/>
  <c r="O4" i="2"/>
  <c r="N4" i="2"/>
  <c r="F4" i="2"/>
  <c r="Q4" i="2" s="1"/>
  <c r="F5" i="2"/>
  <c r="Q5" i="2" s="1"/>
  <c r="F6" i="2"/>
  <c r="Q6" i="2" s="1"/>
  <c r="F7" i="2"/>
  <c r="Q7" i="2" s="1"/>
  <c r="F8" i="2"/>
  <c r="Q8" i="2" s="1"/>
  <c r="F9" i="2"/>
  <c r="F10" i="2"/>
  <c r="Q10" i="2" s="1"/>
  <c r="F11" i="2"/>
  <c r="Q11" i="2" s="1"/>
  <c r="F12" i="2"/>
  <c r="Q12" i="2" s="1"/>
  <c r="F13" i="2"/>
  <c r="Q13" i="2" s="1"/>
  <c r="F14" i="2"/>
  <c r="F15" i="2"/>
  <c r="Q15" i="2" s="1"/>
  <c r="F16" i="2"/>
  <c r="Q16" i="2" s="1"/>
  <c r="F17" i="2"/>
  <c r="Q17" i="2" s="1"/>
  <c r="F18" i="2"/>
  <c r="Q18" i="2" s="1"/>
  <c r="F19" i="2"/>
  <c r="F5" i="1"/>
  <c r="Q5" i="1" s="1"/>
  <c r="F6" i="1"/>
  <c r="Q6" i="1" s="1"/>
  <c r="F7" i="1"/>
  <c r="Q7" i="1" s="1"/>
  <c r="F8" i="1"/>
  <c r="F9" i="1"/>
  <c r="F10" i="1"/>
  <c r="F11" i="1"/>
  <c r="F12" i="1"/>
  <c r="F13" i="1"/>
  <c r="Q13" i="1" s="1"/>
  <c r="F14" i="1"/>
  <c r="F15" i="1"/>
  <c r="Q15" i="1" s="1"/>
  <c r="F16" i="1"/>
  <c r="F17" i="1"/>
  <c r="F18" i="1"/>
  <c r="F19" i="1"/>
  <c r="F4" i="1"/>
  <c r="AC15" i="2" l="1"/>
  <c r="AE4" i="2"/>
  <c r="AE15" i="2" s="1"/>
  <c r="Q9" i="1"/>
  <c r="Q4" i="1"/>
  <c r="Q19" i="1"/>
  <c r="Q17" i="1"/>
  <c r="Q8" i="1"/>
  <c r="Q18" i="1"/>
  <c r="AE4" i="1"/>
  <c r="Q14" i="1"/>
  <c r="Q12" i="1"/>
  <c r="Q11" i="1"/>
  <c r="Q10" i="1"/>
  <c r="Q16" i="1"/>
  <c r="Y15" i="1"/>
  <c r="X15" i="1"/>
  <c r="Z15" i="1"/>
  <c r="S20" i="2"/>
  <c r="O20" i="2"/>
  <c r="Q19" i="2"/>
  <c r="Q14" i="2"/>
  <c r="Q9" i="2"/>
  <c r="Q20" i="2" s="1"/>
  <c r="R20" i="2"/>
  <c r="T20" i="2"/>
  <c r="F20" i="2"/>
  <c r="F20" i="1"/>
  <c r="Q20" i="1" l="1"/>
  <c r="AE11" i="1"/>
  <c r="AE5" i="1"/>
  <c r="AE9" i="1"/>
  <c r="AE8" i="1"/>
  <c r="AE6" i="1"/>
  <c r="AE13" i="1"/>
  <c r="AE7" i="1"/>
  <c r="AE10" i="1"/>
  <c r="AE12" i="1"/>
  <c r="AA15" i="1"/>
  <c r="AB15" i="1"/>
  <c r="AE14" i="1" l="1"/>
</calcChain>
</file>

<file path=xl/sharedStrings.xml><?xml version="1.0" encoding="utf-8"?>
<sst xmlns="http://schemas.openxmlformats.org/spreadsheetml/2006/main" count="152" uniqueCount="49">
  <si>
    <t>MA 4/R3-4</t>
  </si>
  <si>
    <t>MA 5/R3-4</t>
  </si>
  <si>
    <t>MA 6/R1</t>
  </si>
  <si>
    <t>MA 6/R3-1</t>
  </si>
  <si>
    <t>MA 6/R3-2</t>
  </si>
  <si>
    <t>MA 6/R3-3</t>
  </si>
  <si>
    <t>MA7/R1</t>
  </si>
  <si>
    <t>MA7/R3-1</t>
  </si>
  <si>
    <t>MA8-1/R2E</t>
  </si>
  <si>
    <t>MA8-2/R2E</t>
  </si>
  <si>
    <t>MA 9/R2W</t>
  </si>
  <si>
    <t>MA 9/R5</t>
  </si>
  <si>
    <t>MA10/R4</t>
  </si>
  <si>
    <t>MA11/R6</t>
  </si>
  <si>
    <t>MA12/R5</t>
  </si>
  <si>
    <t>MA13/R7</t>
  </si>
  <si>
    <t>Total</t>
  </si>
  <si>
    <t>Marine Area</t>
  </si>
  <si>
    <t>Total.Respondent.Crabs</t>
  </si>
  <si>
    <t>Late.Crabs</t>
  </si>
  <si>
    <t>NR.Crabs</t>
  </si>
  <si>
    <t>EUC</t>
  </si>
  <si>
    <t>Charter.Catch</t>
  </si>
  <si>
    <t>Total.Crabs</t>
  </si>
  <si>
    <t>Total CRC Catch</t>
  </si>
  <si>
    <t># of Crabs</t>
  </si>
  <si>
    <t>Llbs of Crab</t>
  </si>
  <si>
    <t>By Region</t>
  </si>
  <si>
    <t>2E</t>
  </si>
  <si>
    <t>2W</t>
  </si>
  <si>
    <t>3-1</t>
  </si>
  <si>
    <t>3-2</t>
  </si>
  <si>
    <t>3-3</t>
  </si>
  <si>
    <t>3-4</t>
  </si>
  <si>
    <t>Marine Areas</t>
  </si>
  <si>
    <t>Charter Stamp Catch</t>
  </si>
  <si>
    <t>Total Catch (lbs.)</t>
  </si>
  <si>
    <t>7, 6</t>
  </si>
  <si>
    <t>8-1, 8-2</t>
  </si>
  <si>
    <t>9 (non-25C)</t>
  </si>
  <si>
    <t>6, 7</t>
  </si>
  <si>
    <t>4, 5</t>
  </si>
  <si>
    <t>12(w/25C)</t>
  </si>
  <si>
    <t>Ave Wt (lbs.)</t>
  </si>
  <si>
    <t>OTC</t>
  </si>
  <si>
    <t>LC</t>
  </si>
  <si>
    <t>NRC</t>
  </si>
  <si>
    <t>Total Catch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</si>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</sst>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16" fontId="2" fillId="0" borderId="0" xfId="0" quotePrefix="1" applyNumberFormat="1" applyFont="1" applyAlignment="1">
      <alignment horizontal="right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 vertical="center"/>
    </xf>
    <xf numFmtId="1" fontId="0" fillId="0" borderId="0" xfId="0" applyNumberFormat="1"/>
    <xf numFmtId="0" fontId="0" fillId="4" borderId="0" xfId="0" applyFill="1"/>
    <xf numFmtId="164" fontId="0" fillId="0" borderId="0" xfId="0" applyNumberFormat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0" fillId="0" borderId="1" xfId="0" applyNumberFormat="1" applyBorder="1"/>
    <xf numFmtId="1" fontId="0" fillId="5" borderId="1" xfId="0" applyNumberFormat="1" applyFill="1" applyBorder="1"/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23"/>
  <sheetViews>
    <sheetView topLeftCell="P1" workbookViewId="0">
      <selection activeCell="V1" sqref="V1:AE1048576"/>
    </sheetView>
  </sheetViews>
  <sheetFormatPr defaultRowHeight="15" x14ac:dyDescent="0.25"/>
  <cols>
    <col min="1" max="1" width="3.42578125" customWidth="1"/>
    <col min="2" max="2" width="16" customWidth="1"/>
    <col min="3" max="3" width="22.5703125" customWidth="1"/>
    <col min="4" max="4" width="10.85546875" customWidth="1"/>
    <col min="5" max="5" width="10.5703125" customWidth="1"/>
    <col min="6" max="6" width="14.42578125" customWidth="1"/>
    <col min="7" max="7" width="9.7109375" customWidth="1"/>
    <col min="8" max="8" width="12.140625" customWidth="1"/>
    <col min="9" max="9" width="12.42578125" customWidth="1"/>
    <col min="10" max="10" width="1.7109375" customWidth="1"/>
    <col min="11" max="11" width="12.85546875" customWidth="1"/>
    <col min="12" max="12" width="3.140625" customWidth="1"/>
    <col min="13" max="13" width="11.42578125" bestFit="1" customWidth="1"/>
    <col min="14" max="14" width="21.5703125" bestFit="1" customWidth="1"/>
    <col min="15" max="15" width="9.5703125" bestFit="1" customWidth="1"/>
    <col min="17" max="17" width="14.140625" bestFit="1" customWidth="1"/>
    <col min="18" max="18" width="6.85546875" bestFit="1" customWidth="1"/>
    <col min="19" max="19" width="12.5703125" bestFit="1" customWidth="1"/>
    <col min="20" max="20" width="10.42578125" bestFit="1" customWidth="1"/>
    <col min="21" max="21" width="4.140625" customWidth="1"/>
    <col min="22" max="22" width="10.28515625" customWidth="1"/>
    <col min="23" max="23" width="16" customWidth="1"/>
    <col min="24" max="26" width="13.42578125" customWidth="1"/>
    <col min="27" max="27" width="10.5703125" customWidth="1"/>
    <col min="28" max="28" width="21.85546875" customWidth="1"/>
    <col min="29" max="29" width="14.42578125" customWidth="1"/>
    <col min="30" max="30" width="7.42578125" customWidth="1"/>
    <col min="31" max="31" width="18.140625" customWidth="1"/>
  </cols>
  <sheetData>
    <row r="2" spans="2:31" x14ac:dyDescent="0.25">
      <c r="B2" s="6" t="s">
        <v>25</v>
      </c>
      <c r="M2" s="7" t="s">
        <v>26</v>
      </c>
      <c r="V2" s="11" t="s">
        <v>27</v>
      </c>
    </row>
    <row r="3" spans="2:31" ht="15.75" x14ac:dyDescent="0.25">
      <c r="B3" s="3" t="s">
        <v>17</v>
      </c>
      <c r="C3" s="3" t="s">
        <v>18</v>
      </c>
      <c r="D3" s="3" t="s">
        <v>19</v>
      </c>
      <c r="E3" s="3" t="s">
        <v>20</v>
      </c>
      <c r="F3" s="3" t="s">
        <v>24</v>
      </c>
      <c r="G3" s="3" t="s">
        <v>21</v>
      </c>
      <c r="H3" s="3" t="s">
        <v>22</v>
      </c>
      <c r="I3" s="3" t="s">
        <v>23</v>
      </c>
      <c r="J3" s="3"/>
      <c r="K3" s="3" t="s">
        <v>43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24</v>
      </c>
      <c r="R3" s="3" t="s">
        <v>21</v>
      </c>
      <c r="S3" s="3" t="s">
        <v>22</v>
      </c>
      <c r="T3" s="3" t="s">
        <v>23</v>
      </c>
      <c r="V3" s="8" t="s">
        <v>27</v>
      </c>
      <c r="W3" s="9" t="s">
        <v>34</v>
      </c>
      <c r="X3" s="13" t="s">
        <v>44</v>
      </c>
      <c r="Y3" s="13" t="s">
        <v>45</v>
      </c>
      <c r="Z3" s="13" t="s">
        <v>46</v>
      </c>
      <c r="AA3" s="14" t="s">
        <v>21</v>
      </c>
      <c r="AB3" s="14" t="s">
        <v>35</v>
      </c>
      <c r="AC3" s="14" t="s">
        <v>47</v>
      </c>
      <c r="AD3" s="17" t="s">
        <v>48</v>
      </c>
      <c r="AE3" s="14" t="s">
        <v>36</v>
      </c>
    </row>
    <row r="4" spans="2:31" ht="15.75" x14ac:dyDescent="0.25">
      <c r="B4" s="1" t="s">
        <v>0</v>
      </c>
      <c r="C4">
        <v>258</v>
      </c>
      <c r="D4">
        <v>0</v>
      </c>
      <c r="E4">
        <v>135</v>
      </c>
      <c r="F4">
        <f t="shared" ref="F4:F19" si="0">SUM(C4:E4)</f>
        <v>393</v>
      </c>
      <c r="G4">
        <v>78</v>
      </c>
      <c r="H4">
        <v>0</v>
      </c>
      <c r="I4">
        <v>471</v>
      </c>
      <c r="K4">
        <v>1.8</v>
      </c>
      <c r="M4" s="1" t="s">
        <v>0</v>
      </c>
      <c r="N4">
        <f>C4*$K4</f>
        <v>464.40000000000003</v>
      </c>
      <c r="O4">
        <f t="shared" ref="O4:T4" si="1">D4*$K4</f>
        <v>0</v>
      </c>
      <c r="P4">
        <f t="shared" si="1"/>
        <v>243</v>
      </c>
      <c r="Q4" s="10">
        <f t="shared" si="1"/>
        <v>707.4</v>
      </c>
      <c r="R4" s="10">
        <f t="shared" si="1"/>
        <v>140.4</v>
      </c>
      <c r="S4">
        <f t="shared" si="1"/>
        <v>0</v>
      </c>
      <c r="T4" s="10">
        <f t="shared" si="1"/>
        <v>847.80000000000007</v>
      </c>
      <c r="V4" s="4">
        <v>1</v>
      </c>
      <c r="W4" s="4" t="s">
        <v>37</v>
      </c>
      <c r="X4" s="16">
        <f>C10+C6</f>
        <v>156726</v>
      </c>
      <c r="Y4" s="16">
        <f t="shared" ref="Y4:Z4" si="2">D10+D6</f>
        <v>4183</v>
      </c>
      <c r="Z4" s="16">
        <f t="shared" si="2"/>
        <v>82206</v>
      </c>
      <c r="AA4" s="16">
        <f>G10+G6</f>
        <v>47991</v>
      </c>
      <c r="AB4" s="16">
        <f>H10+H6</f>
        <v>73</v>
      </c>
      <c r="AC4" s="15">
        <f>X4+Y4+Z4+AA4+AB4</f>
        <v>291179</v>
      </c>
      <c r="AD4" s="18">
        <v>1.8</v>
      </c>
      <c r="AE4" s="15">
        <f>AC4*AD4</f>
        <v>524122.2</v>
      </c>
    </row>
    <row r="5" spans="2:31" ht="15.75" x14ac:dyDescent="0.25">
      <c r="B5" s="1" t="s">
        <v>1</v>
      </c>
      <c r="C5">
        <v>1037</v>
      </c>
      <c r="D5">
        <v>40</v>
      </c>
      <c r="E5">
        <v>544</v>
      </c>
      <c r="F5">
        <f t="shared" si="0"/>
        <v>1621</v>
      </c>
      <c r="G5">
        <v>320</v>
      </c>
      <c r="H5">
        <v>0</v>
      </c>
      <c r="I5">
        <v>1941</v>
      </c>
      <c r="K5">
        <v>1.8</v>
      </c>
      <c r="M5" s="1" t="s">
        <v>1</v>
      </c>
      <c r="N5">
        <f t="shared" ref="N5:N19" si="3">C5*$K5</f>
        <v>1866.6000000000001</v>
      </c>
      <c r="O5">
        <f t="shared" ref="O5:O19" si="4">D5*$K5</f>
        <v>72</v>
      </c>
      <c r="P5">
        <f t="shared" ref="P5:P19" si="5">E5*$K5</f>
        <v>979.2</v>
      </c>
      <c r="Q5" s="10">
        <f t="shared" ref="Q5:Q19" si="6">F5*$K5</f>
        <v>2917.8</v>
      </c>
      <c r="R5" s="10">
        <f t="shared" ref="R5:R19" si="7">G5*$K5</f>
        <v>576</v>
      </c>
      <c r="S5">
        <f t="shared" ref="S5:S19" si="8">H5*$K5</f>
        <v>0</v>
      </c>
      <c r="T5" s="10">
        <f t="shared" ref="T5:T19" si="9">I5*$K5</f>
        <v>3493.8</v>
      </c>
      <c r="V5" s="4" t="s">
        <v>28</v>
      </c>
      <c r="W5" s="4" t="s">
        <v>38</v>
      </c>
      <c r="X5" s="15">
        <f>C12+C13</f>
        <v>250856</v>
      </c>
      <c r="Y5" s="15">
        <f t="shared" ref="Y5:Z5" si="10">D12+D13</f>
        <v>3705</v>
      </c>
      <c r="Z5" s="15">
        <f t="shared" si="10"/>
        <v>131578</v>
      </c>
      <c r="AA5" s="15">
        <f>G12+G13</f>
        <v>75375</v>
      </c>
      <c r="AB5" s="15">
        <f>H12+H13</f>
        <v>21</v>
      </c>
      <c r="AC5" s="15">
        <f>X5+Y5+Z5+AA5+AB5</f>
        <v>461535</v>
      </c>
      <c r="AD5" s="18">
        <v>1.8</v>
      </c>
      <c r="AE5" s="15">
        <f>AC5*AD5</f>
        <v>830763</v>
      </c>
    </row>
    <row r="6" spans="2:31" ht="15.75" x14ac:dyDescent="0.25">
      <c r="B6" s="1" t="s">
        <v>2</v>
      </c>
      <c r="C6">
        <v>1569</v>
      </c>
      <c r="D6">
        <v>21</v>
      </c>
      <c r="E6">
        <v>823</v>
      </c>
      <c r="F6">
        <f t="shared" si="0"/>
        <v>2413</v>
      </c>
      <c r="G6">
        <v>476</v>
      </c>
      <c r="H6">
        <v>0</v>
      </c>
      <c r="I6">
        <v>2889</v>
      </c>
      <c r="K6">
        <v>1.8</v>
      </c>
      <c r="M6" s="1" t="s">
        <v>2</v>
      </c>
      <c r="N6">
        <f t="shared" si="3"/>
        <v>2824.2000000000003</v>
      </c>
      <c r="O6">
        <f t="shared" si="4"/>
        <v>37.800000000000004</v>
      </c>
      <c r="P6">
        <f t="shared" si="5"/>
        <v>1481.4</v>
      </c>
      <c r="Q6" s="10">
        <f t="shared" si="6"/>
        <v>4343.4000000000005</v>
      </c>
      <c r="R6" s="10">
        <f t="shared" si="7"/>
        <v>856.80000000000007</v>
      </c>
      <c r="S6">
        <f t="shared" si="8"/>
        <v>0</v>
      </c>
      <c r="T6" s="10">
        <f t="shared" si="9"/>
        <v>5200.2</v>
      </c>
      <c r="V6" s="4" t="s">
        <v>29</v>
      </c>
      <c r="W6" s="4" t="s">
        <v>39</v>
      </c>
      <c r="X6" s="15">
        <f>C14</f>
        <v>38037</v>
      </c>
      <c r="Y6" s="15">
        <f t="shared" ref="Y6:Z6" si="11">D14</f>
        <v>612</v>
      </c>
      <c r="Z6" s="15">
        <f t="shared" si="11"/>
        <v>19951</v>
      </c>
      <c r="AA6" s="15">
        <f>G14</f>
        <v>8913</v>
      </c>
      <c r="AB6" s="15">
        <f>H14</f>
        <v>49</v>
      </c>
      <c r="AC6" s="15">
        <f>X6+Y6+Z6+AA6+AB6</f>
        <v>67562</v>
      </c>
      <c r="AD6" s="18">
        <v>1.8</v>
      </c>
      <c r="AE6" s="15">
        <f>AC6*AD6</f>
        <v>121611.6</v>
      </c>
    </row>
    <row r="7" spans="2:31" ht="15.75" x14ac:dyDescent="0.25">
      <c r="B7" s="1" t="s">
        <v>3</v>
      </c>
      <c r="C7">
        <v>2817</v>
      </c>
      <c r="D7">
        <v>38</v>
      </c>
      <c r="E7">
        <v>1477</v>
      </c>
      <c r="F7">
        <f t="shared" si="0"/>
        <v>4332</v>
      </c>
      <c r="G7">
        <v>855</v>
      </c>
      <c r="H7">
        <v>0</v>
      </c>
      <c r="I7">
        <v>5187</v>
      </c>
      <c r="K7">
        <v>1.8</v>
      </c>
      <c r="M7" s="1" t="s">
        <v>3</v>
      </c>
      <c r="N7">
        <f t="shared" si="3"/>
        <v>5070.6000000000004</v>
      </c>
      <c r="O7">
        <f t="shared" si="4"/>
        <v>68.400000000000006</v>
      </c>
      <c r="P7">
        <f t="shared" si="5"/>
        <v>2658.6</v>
      </c>
      <c r="Q7" s="10">
        <f t="shared" si="6"/>
        <v>7797.6</v>
      </c>
      <c r="R7" s="10">
        <f t="shared" si="7"/>
        <v>1539</v>
      </c>
      <c r="S7">
        <f t="shared" si="8"/>
        <v>0</v>
      </c>
      <c r="T7" s="10">
        <f t="shared" si="9"/>
        <v>9336.6</v>
      </c>
      <c r="V7" s="5" t="s">
        <v>30</v>
      </c>
      <c r="W7" s="4" t="s">
        <v>40</v>
      </c>
      <c r="X7" s="15">
        <f>C11+C7</f>
        <v>7781</v>
      </c>
      <c r="Y7" s="15">
        <f t="shared" ref="Y7:Z7" si="12">D11+D7</f>
        <v>171</v>
      </c>
      <c r="Z7" s="15">
        <f t="shared" si="12"/>
        <v>4081</v>
      </c>
      <c r="AA7" s="15">
        <f>G11+G7</f>
        <v>2375</v>
      </c>
      <c r="AB7" s="15">
        <f>H11+H7</f>
        <v>2</v>
      </c>
      <c r="AC7" s="15">
        <f>X7+Y7+Z7+AA7+AB7</f>
        <v>14410</v>
      </c>
      <c r="AD7" s="18">
        <v>1.8</v>
      </c>
      <c r="AE7" s="15">
        <f>AC7*AD7</f>
        <v>25938</v>
      </c>
    </row>
    <row r="8" spans="2:31" ht="15.75" x14ac:dyDescent="0.25">
      <c r="B8" s="1" t="s">
        <v>4</v>
      </c>
      <c r="C8">
        <v>30843</v>
      </c>
      <c r="D8">
        <v>412</v>
      </c>
      <c r="E8">
        <v>16178</v>
      </c>
      <c r="F8">
        <f t="shared" si="0"/>
        <v>47433</v>
      </c>
      <c r="G8">
        <v>9363</v>
      </c>
      <c r="H8">
        <v>0</v>
      </c>
      <c r="I8">
        <v>56796</v>
      </c>
      <c r="K8">
        <v>1.8</v>
      </c>
      <c r="M8" s="1" t="s">
        <v>4</v>
      </c>
      <c r="N8">
        <f t="shared" si="3"/>
        <v>55517.4</v>
      </c>
      <c r="O8">
        <f t="shared" si="4"/>
        <v>741.6</v>
      </c>
      <c r="P8">
        <f t="shared" si="5"/>
        <v>29120.400000000001</v>
      </c>
      <c r="Q8" s="10">
        <f t="shared" si="6"/>
        <v>85379.400000000009</v>
      </c>
      <c r="R8" s="10">
        <f t="shared" si="7"/>
        <v>16853.400000000001</v>
      </c>
      <c r="S8">
        <f t="shared" si="8"/>
        <v>0</v>
      </c>
      <c r="T8" s="10">
        <f t="shared" si="9"/>
        <v>102232.8</v>
      </c>
      <c r="V8" s="5" t="s">
        <v>31</v>
      </c>
      <c r="W8" s="4">
        <v>6</v>
      </c>
      <c r="X8" s="15">
        <f>C8</f>
        <v>30843</v>
      </c>
      <c r="Y8" s="15">
        <f t="shared" ref="Y8:Z9" si="13">D8</f>
        <v>412</v>
      </c>
      <c r="Z8" s="15">
        <f t="shared" si="13"/>
        <v>16178</v>
      </c>
      <c r="AA8" s="15">
        <f>G8</f>
        <v>9363</v>
      </c>
      <c r="AB8" s="15">
        <f>H8</f>
        <v>0</v>
      </c>
      <c r="AC8" s="15">
        <f>X8+Y8+Z8+AA8+AB8</f>
        <v>56796</v>
      </c>
      <c r="AD8" s="18">
        <v>1.8</v>
      </c>
      <c r="AE8" s="15">
        <f>AC8*AD8</f>
        <v>102232.8</v>
      </c>
    </row>
    <row r="9" spans="2:31" ht="15.75" x14ac:dyDescent="0.25">
      <c r="B9" s="1" t="s">
        <v>5</v>
      </c>
      <c r="C9">
        <v>428</v>
      </c>
      <c r="D9">
        <v>6</v>
      </c>
      <c r="E9">
        <v>224</v>
      </c>
      <c r="F9">
        <f t="shared" si="0"/>
        <v>658</v>
      </c>
      <c r="G9">
        <v>130</v>
      </c>
      <c r="H9">
        <v>0</v>
      </c>
      <c r="I9">
        <v>788</v>
      </c>
      <c r="K9">
        <v>1.8</v>
      </c>
      <c r="M9" s="1" t="s">
        <v>5</v>
      </c>
      <c r="N9">
        <f t="shared" si="3"/>
        <v>770.4</v>
      </c>
      <c r="O9">
        <f t="shared" si="4"/>
        <v>10.8</v>
      </c>
      <c r="P9">
        <f t="shared" si="5"/>
        <v>403.2</v>
      </c>
      <c r="Q9" s="10">
        <f t="shared" si="6"/>
        <v>1184.4000000000001</v>
      </c>
      <c r="R9" s="10">
        <f t="shared" si="7"/>
        <v>234</v>
      </c>
      <c r="S9">
        <f t="shared" si="8"/>
        <v>0</v>
      </c>
      <c r="T9" s="10">
        <f t="shared" si="9"/>
        <v>1418.4</v>
      </c>
      <c r="V9" s="5" t="s">
        <v>32</v>
      </c>
      <c r="W9" s="4">
        <v>6</v>
      </c>
      <c r="X9" s="15">
        <f>C9</f>
        <v>428</v>
      </c>
      <c r="Y9" s="15">
        <f t="shared" si="13"/>
        <v>6</v>
      </c>
      <c r="Z9" s="15">
        <f t="shared" si="13"/>
        <v>224</v>
      </c>
      <c r="AA9" s="15">
        <f>G9</f>
        <v>130</v>
      </c>
      <c r="AB9" s="15">
        <f>H9</f>
        <v>0</v>
      </c>
      <c r="AC9" s="15">
        <f>X9+Y9+Z9+AA9+AB9</f>
        <v>788</v>
      </c>
      <c r="AD9" s="18">
        <v>1.8</v>
      </c>
      <c r="AE9" s="15">
        <f>AC9*AD9</f>
        <v>1418.4</v>
      </c>
    </row>
    <row r="10" spans="2:31" ht="15.75" x14ac:dyDescent="0.25">
      <c r="B10" s="1" t="s">
        <v>6</v>
      </c>
      <c r="C10">
        <v>155157</v>
      </c>
      <c r="D10">
        <v>4162</v>
      </c>
      <c r="E10">
        <v>81383</v>
      </c>
      <c r="F10">
        <f t="shared" si="0"/>
        <v>240702</v>
      </c>
      <c r="G10">
        <v>47515</v>
      </c>
      <c r="H10">
        <v>73</v>
      </c>
      <c r="I10">
        <v>288290</v>
      </c>
      <c r="K10">
        <v>1.8</v>
      </c>
      <c r="M10" s="1" t="s">
        <v>6</v>
      </c>
      <c r="N10">
        <f t="shared" si="3"/>
        <v>279282.60000000003</v>
      </c>
      <c r="O10">
        <f t="shared" si="4"/>
        <v>7491.6</v>
      </c>
      <c r="P10">
        <f t="shared" si="5"/>
        <v>146489.4</v>
      </c>
      <c r="Q10" s="10">
        <f t="shared" si="6"/>
        <v>433263.60000000003</v>
      </c>
      <c r="R10" s="10">
        <f t="shared" si="7"/>
        <v>85527</v>
      </c>
      <c r="S10">
        <f t="shared" si="8"/>
        <v>131.4</v>
      </c>
      <c r="T10" s="10">
        <f t="shared" si="9"/>
        <v>518922</v>
      </c>
      <c r="V10" s="5" t="s">
        <v>33</v>
      </c>
      <c r="W10" s="4" t="s">
        <v>41</v>
      </c>
      <c r="X10" s="15">
        <f>C4+C5</f>
        <v>1295</v>
      </c>
      <c r="Y10" s="15">
        <f t="shared" ref="Y10:Z10" si="14">D4+D5</f>
        <v>40</v>
      </c>
      <c r="Z10" s="15">
        <f t="shared" si="14"/>
        <v>679</v>
      </c>
      <c r="AA10" s="15">
        <f>G4+G5</f>
        <v>398</v>
      </c>
      <c r="AB10" s="15">
        <f>H4+H5</f>
        <v>0</v>
      </c>
      <c r="AC10" s="15">
        <f>X10+Y10+Z10+AA10+AB10</f>
        <v>2412</v>
      </c>
      <c r="AD10" s="18">
        <v>1.8</v>
      </c>
      <c r="AE10" s="15">
        <f>AC10*AD10</f>
        <v>4341.6000000000004</v>
      </c>
    </row>
    <row r="11" spans="2:31" ht="15.75" x14ac:dyDescent="0.25">
      <c r="B11" s="1" t="s">
        <v>7</v>
      </c>
      <c r="C11">
        <v>4964</v>
      </c>
      <c r="D11">
        <v>133</v>
      </c>
      <c r="E11">
        <v>2604</v>
      </c>
      <c r="F11">
        <f t="shared" si="0"/>
        <v>7701</v>
      </c>
      <c r="G11">
        <v>1520</v>
      </c>
      <c r="H11">
        <v>2</v>
      </c>
      <c r="I11">
        <v>9223</v>
      </c>
      <c r="K11">
        <v>1.8</v>
      </c>
      <c r="M11" s="1" t="s">
        <v>7</v>
      </c>
      <c r="N11">
        <f t="shared" si="3"/>
        <v>8935.2000000000007</v>
      </c>
      <c r="O11">
        <f t="shared" si="4"/>
        <v>239.4</v>
      </c>
      <c r="P11">
        <f t="shared" si="5"/>
        <v>4687.2</v>
      </c>
      <c r="Q11" s="10">
        <f t="shared" si="6"/>
        <v>13861.800000000001</v>
      </c>
      <c r="R11" s="10">
        <f t="shared" si="7"/>
        <v>2736</v>
      </c>
      <c r="S11">
        <f t="shared" si="8"/>
        <v>3.6</v>
      </c>
      <c r="T11" s="10">
        <f t="shared" si="9"/>
        <v>16601.400000000001</v>
      </c>
      <c r="V11" s="4">
        <v>4</v>
      </c>
      <c r="W11" s="4">
        <v>10</v>
      </c>
      <c r="X11" s="15">
        <f>C16</f>
        <v>25589</v>
      </c>
      <c r="Y11" s="15">
        <f t="shared" ref="Y11:Z11" si="15">D16</f>
        <v>545</v>
      </c>
      <c r="Z11" s="15">
        <f t="shared" si="15"/>
        <v>13422</v>
      </c>
      <c r="AA11" s="15">
        <f>G16</f>
        <v>7808</v>
      </c>
      <c r="AB11" s="15">
        <f>H16</f>
        <v>6</v>
      </c>
      <c r="AC11" s="15">
        <f>X11+Y11+Z11+AA11+AB11</f>
        <v>47370</v>
      </c>
      <c r="AD11" s="18">
        <v>1.8</v>
      </c>
      <c r="AE11" s="15">
        <f>AC11*AD11</f>
        <v>85266</v>
      </c>
    </row>
    <row r="12" spans="2:31" ht="15.75" x14ac:dyDescent="0.25">
      <c r="B12" s="1" t="s">
        <v>8</v>
      </c>
      <c r="C12">
        <v>122937</v>
      </c>
      <c r="D12">
        <v>1374</v>
      </c>
      <c r="E12">
        <v>64482</v>
      </c>
      <c r="F12">
        <f t="shared" si="0"/>
        <v>188793</v>
      </c>
      <c r="G12">
        <v>33775</v>
      </c>
      <c r="H12">
        <v>0</v>
      </c>
      <c r="I12">
        <v>222568</v>
      </c>
      <c r="K12">
        <v>1.8</v>
      </c>
      <c r="M12" s="1" t="s">
        <v>8</v>
      </c>
      <c r="N12">
        <f t="shared" si="3"/>
        <v>221286.6</v>
      </c>
      <c r="O12">
        <f t="shared" si="4"/>
        <v>2473.2000000000003</v>
      </c>
      <c r="P12">
        <f t="shared" si="5"/>
        <v>116067.6</v>
      </c>
      <c r="Q12" s="10">
        <f t="shared" si="6"/>
        <v>339827.4</v>
      </c>
      <c r="R12" s="10">
        <f t="shared" si="7"/>
        <v>60795</v>
      </c>
      <c r="S12">
        <f t="shared" si="8"/>
        <v>0</v>
      </c>
      <c r="T12" s="10">
        <f t="shared" si="9"/>
        <v>400622.4</v>
      </c>
      <c r="V12" s="4">
        <v>5</v>
      </c>
      <c r="W12" s="4" t="s">
        <v>42</v>
      </c>
      <c r="X12" s="15">
        <f>C18+C15</f>
        <v>20376</v>
      </c>
      <c r="Y12" s="15">
        <f t="shared" ref="Y12:Z12" si="16">D18+D15</f>
        <v>320</v>
      </c>
      <c r="Z12" s="15">
        <f t="shared" si="16"/>
        <v>10688</v>
      </c>
      <c r="AA12" s="15">
        <f>G18+G15</f>
        <v>6196</v>
      </c>
      <c r="AB12" s="15">
        <f>H18+H15</f>
        <v>13</v>
      </c>
      <c r="AC12" s="15">
        <f>X12+Y12+Z12+AA12+AB12</f>
        <v>37593</v>
      </c>
      <c r="AD12" s="18">
        <v>1.8</v>
      </c>
      <c r="AE12" s="15">
        <f>AC12*AD12</f>
        <v>67667.400000000009</v>
      </c>
    </row>
    <row r="13" spans="2:31" ht="15.75" x14ac:dyDescent="0.25">
      <c r="B13" s="1" t="s">
        <v>9</v>
      </c>
      <c r="C13">
        <v>127919</v>
      </c>
      <c r="D13">
        <v>2331</v>
      </c>
      <c r="E13">
        <v>67096</v>
      </c>
      <c r="F13">
        <f t="shared" si="0"/>
        <v>197346</v>
      </c>
      <c r="G13">
        <v>41600</v>
      </c>
      <c r="H13">
        <v>21</v>
      </c>
      <c r="I13">
        <v>238967</v>
      </c>
      <c r="K13">
        <v>1.8</v>
      </c>
      <c r="M13" s="1" t="s">
        <v>9</v>
      </c>
      <c r="N13">
        <f t="shared" si="3"/>
        <v>230254.2</v>
      </c>
      <c r="O13">
        <f t="shared" si="4"/>
        <v>4195.8</v>
      </c>
      <c r="P13">
        <f t="shared" si="5"/>
        <v>120772.8</v>
      </c>
      <c r="Q13" s="10">
        <f t="shared" si="6"/>
        <v>355222.8</v>
      </c>
      <c r="R13" s="10">
        <f t="shared" si="7"/>
        <v>74880</v>
      </c>
      <c r="S13">
        <f t="shared" si="8"/>
        <v>37.800000000000004</v>
      </c>
      <c r="T13" s="10">
        <f t="shared" si="9"/>
        <v>430140.60000000003</v>
      </c>
      <c r="V13" s="4">
        <v>6</v>
      </c>
      <c r="W13" s="4">
        <v>11</v>
      </c>
      <c r="X13" s="15">
        <f>C17</f>
        <v>19058</v>
      </c>
      <c r="Y13" s="15">
        <f t="shared" ref="Y13:Z13" si="17">D17</f>
        <v>329</v>
      </c>
      <c r="Z13" s="15">
        <f t="shared" si="17"/>
        <v>9996</v>
      </c>
      <c r="AA13" s="15">
        <f>G17</f>
        <v>6071</v>
      </c>
      <c r="AB13" s="15">
        <f>H17</f>
        <v>0</v>
      </c>
      <c r="AC13" s="15">
        <f>X13+Y13+Z13+AA13+AB13</f>
        <v>35454</v>
      </c>
      <c r="AD13" s="18">
        <v>2</v>
      </c>
      <c r="AE13" s="15">
        <f>AC13*AD13</f>
        <v>70908</v>
      </c>
    </row>
    <row r="14" spans="2:31" ht="15.75" x14ac:dyDescent="0.25">
      <c r="B14" s="1" t="s">
        <v>10</v>
      </c>
      <c r="C14">
        <v>38037</v>
      </c>
      <c r="D14">
        <v>612</v>
      </c>
      <c r="E14">
        <v>19951</v>
      </c>
      <c r="F14">
        <f t="shared" si="0"/>
        <v>58600</v>
      </c>
      <c r="G14">
        <v>8913</v>
      </c>
      <c r="H14">
        <v>49</v>
      </c>
      <c r="I14">
        <v>67562</v>
      </c>
      <c r="K14">
        <v>1.8</v>
      </c>
      <c r="M14" s="1" t="s">
        <v>10</v>
      </c>
      <c r="N14">
        <f t="shared" si="3"/>
        <v>68466.600000000006</v>
      </c>
      <c r="O14">
        <f t="shared" si="4"/>
        <v>1101.6000000000001</v>
      </c>
      <c r="P14">
        <f t="shared" si="5"/>
        <v>35911.800000000003</v>
      </c>
      <c r="Q14" s="10">
        <f t="shared" si="6"/>
        <v>105480</v>
      </c>
      <c r="R14" s="10">
        <f t="shared" si="7"/>
        <v>16043.4</v>
      </c>
      <c r="S14">
        <f t="shared" si="8"/>
        <v>88.2</v>
      </c>
      <c r="T14" s="10">
        <f t="shared" si="9"/>
        <v>121611.6</v>
      </c>
      <c r="V14" s="4">
        <v>7</v>
      </c>
      <c r="W14" s="4">
        <v>13</v>
      </c>
      <c r="X14" s="15">
        <f>C19</f>
        <v>84</v>
      </c>
      <c r="Y14" s="15">
        <f t="shared" ref="Y14:Z14" si="18">D19</f>
        <v>5</v>
      </c>
      <c r="Z14" s="15">
        <f t="shared" si="18"/>
        <v>44</v>
      </c>
      <c r="AA14" s="15">
        <f>G19</f>
        <v>26</v>
      </c>
      <c r="AB14" s="15">
        <f>H19</f>
        <v>0</v>
      </c>
      <c r="AC14" s="15">
        <f>X14+Y14+Z14+AA14+AB14</f>
        <v>159</v>
      </c>
      <c r="AD14" s="18">
        <v>1.8</v>
      </c>
      <c r="AE14" s="15">
        <f>AC14*AD14</f>
        <v>286.2</v>
      </c>
    </row>
    <row r="15" spans="2:31" ht="15.75" x14ac:dyDescent="0.25">
      <c r="B15" s="1" t="s">
        <v>11</v>
      </c>
      <c r="C15">
        <v>9929</v>
      </c>
      <c r="D15">
        <v>160</v>
      </c>
      <c r="E15">
        <v>5208</v>
      </c>
      <c r="F15">
        <f t="shared" si="0"/>
        <v>15297</v>
      </c>
      <c r="G15">
        <v>3020</v>
      </c>
      <c r="H15">
        <v>13</v>
      </c>
      <c r="I15">
        <v>18330</v>
      </c>
      <c r="K15">
        <v>1.8</v>
      </c>
      <c r="M15" s="1" t="s">
        <v>11</v>
      </c>
      <c r="N15">
        <f t="shared" si="3"/>
        <v>17872.2</v>
      </c>
      <c r="O15">
        <f t="shared" si="4"/>
        <v>288</v>
      </c>
      <c r="P15">
        <f t="shared" si="5"/>
        <v>9374.4</v>
      </c>
      <c r="Q15" s="10">
        <f t="shared" si="6"/>
        <v>27534.600000000002</v>
      </c>
      <c r="R15" s="10">
        <f t="shared" si="7"/>
        <v>5436</v>
      </c>
      <c r="S15">
        <f t="shared" si="8"/>
        <v>23.400000000000002</v>
      </c>
      <c r="T15" s="10">
        <f t="shared" si="9"/>
        <v>32994</v>
      </c>
      <c r="X15" s="10">
        <f t="shared" ref="X15:Z15" si="19">SUM(X4:X14)</f>
        <v>551073</v>
      </c>
      <c r="Y15" s="10">
        <f t="shared" si="19"/>
        <v>10328</v>
      </c>
      <c r="Z15" s="10">
        <f t="shared" si="19"/>
        <v>289047</v>
      </c>
      <c r="AA15" s="10">
        <f t="shared" ref="AA15:AD15" si="20">SUM(AA4:AA14)</f>
        <v>164646</v>
      </c>
      <c r="AB15" s="10">
        <f t="shared" si="20"/>
        <v>164</v>
      </c>
      <c r="AC15" s="10">
        <f>SUM(AC4:AC14)</f>
        <v>1015258</v>
      </c>
      <c r="AD15" s="10"/>
      <c r="AE15" s="10">
        <f>SUM(AE4:AE14)</f>
        <v>1834555.2</v>
      </c>
    </row>
    <row r="16" spans="2:31" ht="15.75" x14ac:dyDescent="0.25">
      <c r="B16" s="1" t="s">
        <v>12</v>
      </c>
      <c r="C16">
        <v>25589</v>
      </c>
      <c r="D16">
        <v>545</v>
      </c>
      <c r="E16">
        <v>13422</v>
      </c>
      <c r="F16">
        <f t="shared" si="0"/>
        <v>39556</v>
      </c>
      <c r="G16">
        <v>7808</v>
      </c>
      <c r="H16">
        <v>6</v>
      </c>
      <c r="I16">
        <v>47370</v>
      </c>
      <c r="K16">
        <v>1.8</v>
      </c>
      <c r="M16" s="1" t="s">
        <v>12</v>
      </c>
      <c r="N16">
        <f t="shared" si="3"/>
        <v>46060.200000000004</v>
      </c>
      <c r="O16">
        <f t="shared" si="4"/>
        <v>981</v>
      </c>
      <c r="P16">
        <f t="shared" si="5"/>
        <v>24159.600000000002</v>
      </c>
      <c r="Q16" s="10">
        <f t="shared" si="6"/>
        <v>71200.800000000003</v>
      </c>
      <c r="R16" s="10">
        <f t="shared" si="7"/>
        <v>14054.4</v>
      </c>
      <c r="S16">
        <f t="shared" si="8"/>
        <v>10.8</v>
      </c>
      <c r="T16" s="10">
        <f t="shared" si="9"/>
        <v>85266</v>
      </c>
    </row>
    <row r="17" spans="2:20" ht="15.75" x14ac:dyDescent="0.25">
      <c r="B17" s="1" t="s">
        <v>13</v>
      </c>
      <c r="C17">
        <v>19058</v>
      </c>
      <c r="D17">
        <v>329</v>
      </c>
      <c r="E17">
        <v>9996</v>
      </c>
      <c r="F17">
        <f t="shared" si="0"/>
        <v>29383</v>
      </c>
      <c r="G17">
        <v>6071</v>
      </c>
      <c r="H17">
        <v>0</v>
      </c>
      <c r="I17">
        <v>35454</v>
      </c>
      <c r="K17" s="12">
        <v>2</v>
      </c>
      <c r="M17" s="1" t="s">
        <v>13</v>
      </c>
      <c r="N17">
        <f t="shared" si="3"/>
        <v>38116</v>
      </c>
      <c r="O17">
        <f t="shared" si="4"/>
        <v>658</v>
      </c>
      <c r="P17">
        <f t="shared" si="5"/>
        <v>19992</v>
      </c>
      <c r="Q17" s="10">
        <f t="shared" si="6"/>
        <v>58766</v>
      </c>
      <c r="R17" s="10">
        <f t="shared" si="7"/>
        <v>12142</v>
      </c>
      <c r="S17">
        <f t="shared" si="8"/>
        <v>0</v>
      </c>
      <c r="T17" s="10">
        <f t="shared" si="9"/>
        <v>70908</v>
      </c>
    </row>
    <row r="18" spans="2:20" ht="15.75" x14ac:dyDescent="0.25">
      <c r="B18" s="1" t="s">
        <v>14</v>
      </c>
      <c r="C18">
        <v>10447</v>
      </c>
      <c r="D18">
        <v>160</v>
      </c>
      <c r="E18">
        <v>5480</v>
      </c>
      <c r="F18">
        <f t="shared" si="0"/>
        <v>16087</v>
      </c>
      <c r="G18">
        <v>3176</v>
      </c>
      <c r="H18">
        <v>0</v>
      </c>
      <c r="I18">
        <v>19263</v>
      </c>
      <c r="K18">
        <v>1.8</v>
      </c>
      <c r="M18" s="1" t="s">
        <v>14</v>
      </c>
      <c r="N18">
        <f t="shared" si="3"/>
        <v>18804.600000000002</v>
      </c>
      <c r="O18">
        <f t="shared" si="4"/>
        <v>288</v>
      </c>
      <c r="P18">
        <f t="shared" si="5"/>
        <v>9864</v>
      </c>
      <c r="Q18" s="10">
        <f t="shared" si="6"/>
        <v>28956.600000000002</v>
      </c>
      <c r="R18" s="10">
        <f t="shared" si="7"/>
        <v>5716.8</v>
      </c>
      <c r="S18">
        <f t="shared" si="8"/>
        <v>0</v>
      </c>
      <c r="T18" s="10">
        <f t="shared" si="9"/>
        <v>34673.4</v>
      </c>
    </row>
    <row r="19" spans="2:20" ht="15.75" x14ac:dyDescent="0.25">
      <c r="B19" s="1" t="s">
        <v>15</v>
      </c>
      <c r="C19">
        <v>84</v>
      </c>
      <c r="D19">
        <v>5</v>
      </c>
      <c r="E19">
        <v>44</v>
      </c>
      <c r="F19">
        <f t="shared" si="0"/>
        <v>133</v>
      </c>
      <c r="G19">
        <v>26</v>
      </c>
      <c r="H19">
        <v>0</v>
      </c>
      <c r="I19">
        <v>159</v>
      </c>
      <c r="K19">
        <v>1.8</v>
      </c>
      <c r="M19" s="1" t="s">
        <v>15</v>
      </c>
      <c r="N19">
        <f t="shared" si="3"/>
        <v>151.20000000000002</v>
      </c>
      <c r="O19">
        <f t="shared" si="4"/>
        <v>9</v>
      </c>
      <c r="P19">
        <f t="shared" si="5"/>
        <v>79.2</v>
      </c>
      <c r="Q19" s="10">
        <f t="shared" si="6"/>
        <v>239.4</v>
      </c>
      <c r="R19" s="10">
        <f t="shared" si="7"/>
        <v>46.800000000000004</v>
      </c>
      <c r="S19">
        <f t="shared" si="8"/>
        <v>0</v>
      </c>
      <c r="T19" s="10">
        <f t="shared" si="9"/>
        <v>286.2</v>
      </c>
    </row>
    <row r="20" spans="2:20" ht="15.75" x14ac:dyDescent="0.25">
      <c r="B20" s="2" t="s">
        <v>16</v>
      </c>
      <c r="C20">
        <v>551073</v>
      </c>
      <c r="D20">
        <v>10328</v>
      </c>
      <c r="E20">
        <v>289047</v>
      </c>
      <c r="F20">
        <f>SUM(F4:F19)</f>
        <v>850448</v>
      </c>
      <c r="G20">
        <v>164646</v>
      </c>
      <c r="H20">
        <v>164</v>
      </c>
      <c r="I20">
        <v>1015258</v>
      </c>
      <c r="M20" s="2" t="s">
        <v>16</v>
      </c>
      <c r="N20">
        <f>SUM(N4:N19)</f>
        <v>995742.99999999977</v>
      </c>
      <c r="O20">
        <f t="shared" ref="O20:T20" si="21">SUM(O4:O19)</f>
        <v>18656.2</v>
      </c>
      <c r="P20">
        <f t="shared" si="21"/>
        <v>522283.8</v>
      </c>
      <c r="Q20" s="10">
        <f t="shared" si="21"/>
        <v>1536683.0000000002</v>
      </c>
      <c r="R20" s="10">
        <f t="shared" si="21"/>
        <v>297577</v>
      </c>
      <c r="S20">
        <f t="shared" si="21"/>
        <v>295.2</v>
      </c>
      <c r="T20" s="10">
        <f t="shared" si="21"/>
        <v>1834555.2</v>
      </c>
    </row>
    <row r="23" spans="2:20" ht="33.950000000000003" customHeight="1" x14ac:dyDescent="0.25"/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B4EF-862B-414A-8B07-D5A89CBFE907}">
  <dimension ref="B2:AE23"/>
  <sheetViews>
    <sheetView tabSelected="1" topLeftCell="I1" workbookViewId="0">
      <selection activeCell="Z26" sqref="Z26"/>
    </sheetView>
  </sheetViews>
  <sheetFormatPr defaultRowHeight="15" x14ac:dyDescent="0.25"/>
  <cols>
    <col min="1" max="1" width="3.42578125" customWidth="1"/>
    <col min="2" max="2" width="16" customWidth="1"/>
    <col min="3" max="3" width="21.5703125" bestFit="1" customWidth="1"/>
    <col min="4" max="4" width="9.5703125" bestFit="1" customWidth="1"/>
    <col min="5" max="5" width="9.5703125" customWidth="1"/>
    <col min="6" max="6" width="13.28515625" customWidth="1"/>
    <col min="8" max="8" width="12.140625" customWidth="1"/>
    <col min="9" max="9" width="12.42578125" customWidth="1"/>
    <col min="10" max="10" width="2.42578125" customWidth="1"/>
    <col min="11" max="11" width="12.42578125" customWidth="1"/>
    <col min="12" max="12" width="2.5703125" customWidth="1"/>
    <col min="13" max="13" width="11.42578125" bestFit="1" customWidth="1"/>
    <col min="14" max="14" width="21.5703125" bestFit="1" customWidth="1"/>
    <col min="15" max="15" width="9.5703125" bestFit="1" customWidth="1"/>
    <col min="17" max="17" width="14.140625" bestFit="1" customWidth="1"/>
    <col min="18" max="18" width="6.85546875" bestFit="1" customWidth="1"/>
    <col min="19" max="19" width="12.5703125" bestFit="1" customWidth="1"/>
    <col min="20" max="20" width="10.42578125" bestFit="1" customWidth="1"/>
    <col min="21" max="21" width="2.85546875" customWidth="1"/>
    <col min="22" max="22" width="10.28515625" customWidth="1"/>
    <col min="23" max="23" width="16" customWidth="1"/>
    <col min="24" max="26" width="13.42578125" customWidth="1"/>
    <col min="27" max="27" width="10.5703125" customWidth="1"/>
    <col min="28" max="28" width="21.85546875" customWidth="1"/>
    <col min="29" max="29" width="14.42578125" customWidth="1"/>
    <col min="30" max="30" width="7.42578125" customWidth="1"/>
    <col min="31" max="31" width="18.140625" customWidth="1"/>
  </cols>
  <sheetData>
    <row r="2" spans="2:31" x14ac:dyDescent="0.25">
      <c r="B2" s="6" t="s">
        <v>25</v>
      </c>
      <c r="M2" s="7" t="s">
        <v>26</v>
      </c>
      <c r="V2" s="11" t="s">
        <v>27</v>
      </c>
    </row>
    <row r="3" spans="2:31" ht="15.75" x14ac:dyDescent="0.25">
      <c r="B3" s="3" t="s">
        <v>17</v>
      </c>
      <c r="C3" s="3" t="s">
        <v>18</v>
      </c>
      <c r="D3" s="3" t="s">
        <v>19</v>
      </c>
      <c r="E3" s="3" t="s">
        <v>20</v>
      </c>
      <c r="F3" s="3" t="s">
        <v>24</v>
      </c>
      <c r="G3" s="3" t="s">
        <v>21</v>
      </c>
      <c r="H3" s="3" t="s">
        <v>22</v>
      </c>
      <c r="I3" s="3" t="s">
        <v>23</v>
      </c>
      <c r="J3" s="3"/>
      <c r="K3" s="3" t="s">
        <v>43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24</v>
      </c>
      <c r="R3" s="3" t="s">
        <v>21</v>
      </c>
      <c r="S3" s="3" t="s">
        <v>22</v>
      </c>
      <c r="T3" s="3" t="s">
        <v>23</v>
      </c>
      <c r="V3" s="8" t="s">
        <v>27</v>
      </c>
      <c r="W3" s="9" t="s">
        <v>34</v>
      </c>
      <c r="X3" s="13" t="s">
        <v>44</v>
      </c>
      <c r="Y3" s="13" t="s">
        <v>45</v>
      </c>
      <c r="Z3" s="13" t="s">
        <v>46</v>
      </c>
      <c r="AA3" s="14" t="s">
        <v>21</v>
      </c>
      <c r="AB3" s="14" t="s">
        <v>35</v>
      </c>
      <c r="AC3" s="14" t="s">
        <v>47</v>
      </c>
      <c r="AD3" s="17" t="s">
        <v>48</v>
      </c>
      <c r="AE3" s="14" t="s">
        <v>36</v>
      </c>
    </row>
    <row r="4" spans="2:31" ht="15.75" x14ac:dyDescent="0.25">
      <c r="B4" s="1" t="s">
        <v>0</v>
      </c>
      <c r="C4">
        <v>71</v>
      </c>
      <c r="D4">
        <v>0</v>
      </c>
      <c r="E4">
        <v>35</v>
      </c>
      <c r="F4">
        <f t="shared" ref="F4:F19" si="0">SUM(C4:E4)</f>
        <v>106</v>
      </c>
      <c r="G4">
        <v>21</v>
      </c>
      <c r="H4">
        <v>0</v>
      </c>
      <c r="I4">
        <v>127</v>
      </c>
      <c r="K4">
        <v>1.8</v>
      </c>
      <c r="M4" s="1" t="s">
        <v>0</v>
      </c>
      <c r="N4">
        <f>C4*$K4</f>
        <v>127.8</v>
      </c>
      <c r="O4">
        <f t="shared" ref="O4:T19" si="1">D4*$K4</f>
        <v>0</v>
      </c>
      <c r="P4">
        <f t="shared" si="1"/>
        <v>63</v>
      </c>
      <c r="Q4" s="10">
        <f t="shared" si="1"/>
        <v>190.8</v>
      </c>
      <c r="R4" s="10">
        <f t="shared" si="1"/>
        <v>37.800000000000004</v>
      </c>
      <c r="S4">
        <f t="shared" si="1"/>
        <v>0</v>
      </c>
      <c r="T4" s="10">
        <f t="shared" si="1"/>
        <v>228.6</v>
      </c>
      <c r="V4" s="4">
        <v>1</v>
      </c>
      <c r="W4" s="4" t="s">
        <v>37</v>
      </c>
      <c r="X4" s="16">
        <f>C10+C6</f>
        <v>22266</v>
      </c>
      <c r="Y4" s="16">
        <f t="shared" ref="Y4:Z4" si="2">D10+D6</f>
        <v>261</v>
      </c>
      <c r="Z4" s="16">
        <f t="shared" si="2"/>
        <v>11180</v>
      </c>
      <c r="AA4" s="16">
        <f>G10+G6</f>
        <v>6653</v>
      </c>
      <c r="AB4" s="16">
        <f>H10+H6</f>
        <v>48</v>
      </c>
      <c r="AC4" s="15">
        <f>X4+Y4+Z4+AA4+AB4</f>
        <v>40408</v>
      </c>
      <c r="AD4" s="18">
        <v>1.8</v>
      </c>
      <c r="AE4" s="15">
        <f>AC4*AD4</f>
        <v>72734.400000000009</v>
      </c>
    </row>
    <row r="5" spans="2:31" ht="15.75" x14ac:dyDescent="0.25">
      <c r="B5" s="1" t="s">
        <v>1</v>
      </c>
      <c r="C5">
        <v>183</v>
      </c>
      <c r="D5">
        <v>0</v>
      </c>
      <c r="E5">
        <v>92</v>
      </c>
      <c r="F5">
        <f t="shared" si="0"/>
        <v>275</v>
      </c>
      <c r="G5">
        <v>54</v>
      </c>
      <c r="H5">
        <v>0</v>
      </c>
      <c r="I5">
        <v>329</v>
      </c>
      <c r="K5">
        <v>1.8</v>
      </c>
      <c r="M5" s="1" t="s">
        <v>1</v>
      </c>
      <c r="N5">
        <f t="shared" ref="N5:N19" si="3">C5*$K5</f>
        <v>329.40000000000003</v>
      </c>
      <c r="O5">
        <f t="shared" si="1"/>
        <v>0</v>
      </c>
      <c r="P5">
        <f t="shared" si="1"/>
        <v>165.6</v>
      </c>
      <c r="Q5" s="10">
        <f t="shared" si="1"/>
        <v>495</v>
      </c>
      <c r="R5" s="10">
        <f t="shared" si="1"/>
        <v>97.2</v>
      </c>
      <c r="S5">
        <f t="shared" si="1"/>
        <v>0</v>
      </c>
      <c r="T5" s="10">
        <f t="shared" si="1"/>
        <v>592.20000000000005</v>
      </c>
      <c r="V5" s="4" t="s">
        <v>28</v>
      </c>
      <c r="W5" s="4" t="s">
        <v>38</v>
      </c>
      <c r="X5" s="15">
        <f>C12+C13</f>
        <v>20770</v>
      </c>
      <c r="Y5" s="15">
        <f t="shared" ref="Y5:Z5" si="4">D12+D13</f>
        <v>437</v>
      </c>
      <c r="Z5" s="15">
        <f t="shared" si="4"/>
        <v>10429</v>
      </c>
      <c r="AA5" s="15">
        <f>G12+G13</f>
        <v>6236</v>
      </c>
      <c r="AB5" s="15">
        <f>H12+H13</f>
        <v>0</v>
      </c>
      <c r="AC5" s="15">
        <f>X5+Y5+Z5+AA5+AB5</f>
        <v>37872</v>
      </c>
      <c r="AD5" s="18">
        <v>1.8</v>
      </c>
      <c r="AE5" s="15">
        <f>AC5*AD5</f>
        <v>68169.600000000006</v>
      </c>
    </row>
    <row r="6" spans="2:31" ht="15.75" x14ac:dyDescent="0.25">
      <c r="B6" s="1" t="s">
        <v>2</v>
      </c>
      <c r="C6">
        <v>247</v>
      </c>
      <c r="D6">
        <v>1</v>
      </c>
      <c r="E6">
        <v>124</v>
      </c>
      <c r="F6">
        <f t="shared" si="0"/>
        <v>372</v>
      </c>
      <c r="G6">
        <v>73</v>
      </c>
      <c r="H6">
        <v>0</v>
      </c>
      <c r="I6">
        <v>445</v>
      </c>
      <c r="K6">
        <v>1.8</v>
      </c>
      <c r="M6" s="1" t="s">
        <v>2</v>
      </c>
      <c r="N6">
        <f t="shared" si="3"/>
        <v>444.6</v>
      </c>
      <c r="O6">
        <f t="shared" si="1"/>
        <v>1.8</v>
      </c>
      <c r="P6">
        <f t="shared" si="1"/>
        <v>223.20000000000002</v>
      </c>
      <c r="Q6" s="10">
        <f t="shared" si="1"/>
        <v>669.6</v>
      </c>
      <c r="R6" s="10">
        <f t="shared" si="1"/>
        <v>131.4</v>
      </c>
      <c r="S6">
        <f t="shared" si="1"/>
        <v>0</v>
      </c>
      <c r="T6" s="10">
        <f t="shared" si="1"/>
        <v>801</v>
      </c>
      <c r="V6" s="4" t="s">
        <v>29</v>
      </c>
      <c r="W6" s="4" t="s">
        <v>39</v>
      </c>
      <c r="X6" s="15">
        <f>C14</f>
        <v>9485</v>
      </c>
      <c r="Y6" s="15">
        <f t="shared" ref="Y6:Z6" si="5">D14</f>
        <v>29</v>
      </c>
      <c r="Z6" s="15">
        <f t="shared" si="5"/>
        <v>4762</v>
      </c>
      <c r="AA6" s="15">
        <f>G14</f>
        <v>2171</v>
      </c>
      <c r="AB6" s="15">
        <f>H14</f>
        <v>48</v>
      </c>
      <c r="AC6" s="15">
        <f>X6+Y6+Z6+AA6+AB6</f>
        <v>16495</v>
      </c>
      <c r="AD6" s="18">
        <v>1.8</v>
      </c>
      <c r="AE6" s="15">
        <f>AC6*AD6</f>
        <v>29691</v>
      </c>
    </row>
    <row r="7" spans="2:31" ht="15.75" x14ac:dyDescent="0.25">
      <c r="B7" s="1" t="s">
        <v>3</v>
      </c>
      <c r="C7">
        <v>444</v>
      </c>
      <c r="D7">
        <v>1</v>
      </c>
      <c r="E7">
        <v>223</v>
      </c>
      <c r="F7">
        <f t="shared" si="0"/>
        <v>668</v>
      </c>
      <c r="G7">
        <v>132</v>
      </c>
      <c r="H7">
        <v>0</v>
      </c>
      <c r="I7">
        <v>800</v>
      </c>
      <c r="K7">
        <v>1.8</v>
      </c>
      <c r="M7" s="1" t="s">
        <v>3</v>
      </c>
      <c r="N7">
        <f t="shared" si="3"/>
        <v>799.2</v>
      </c>
      <c r="O7">
        <f t="shared" si="1"/>
        <v>1.8</v>
      </c>
      <c r="P7">
        <f t="shared" si="1"/>
        <v>401.40000000000003</v>
      </c>
      <c r="Q7" s="10">
        <f t="shared" si="1"/>
        <v>1202.4000000000001</v>
      </c>
      <c r="R7" s="10">
        <f t="shared" si="1"/>
        <v>237.6</v>
      </c>
      <c r="S7">
        <f t="shared" si="1"/>
        <v>0</v>
      </c>
      <c r="T7" s="10">
        <f t="shared" si="1"/>
        <v>1440</v>
      </c>
      <c r="V7" s="5" t="s">
        <v>30</v>
      </c>
      <c r="W7" s="4" t="s">
        <v>40</v>
      </c>
      <c r="X7" s="15">
        <f>C11+C7</f>
        <v>1148</v>
      </c>
      <c r="Y7" s="15">
        <f t="shared" ref="Y7:Z7" si="6">D11+D7</f>
        <v>9</v>
      </c>
      <c r="Z7" s="15">
        <f t="shared" si="6"/>
        <v>577</v>
      </c>
      <c r="AA7" s="15">
        <f>G11+G7</f>
        <v>343</v>
      </c>
      <c r="AB7" s="15">
        <f>H11+H7</f>
        <v>2</v>
      </c>
      <c r="AC7" s="15">
        <f>X7+Y7+Z7+AA7+AB7</f>
        <v>2079</v>
      </c>
      <c r="AD7" s="18">
        <v>1.8</v>
      </c>
      <c r="AE7" s="15">
        <f>AC7*AD7</f>
        <v>3742.2000000000003</v>
      </c>
    </row>
    <row r="8" spans="2:31" ht="15.75" x14ac:dyDescent="0.25">
      <c r="B8" s="1" t="s">
        <v>4</v>
      </c>
      <c r="C8">
        <v>4864</v>
      </c>
      <c r="D8">
        <v>11</v>
      </c>
      <c r="E8">
        <v>2442</v>
      </c>
      <c r="F8">
        <f t="shared" si="0"/>
        <v>7317</v>
      </c>
      <c r="G8">
        <v>1444</v>
      </c>
      <c r="H8">
        <v>0</v>
      </c>
      <c r="I8">
        <v>8761</v>
      </c>
      <c r="K8">
        <v>1.8</v>
      </c>
      <c r="M8" s="1" t="s">
        <v>4</v>
      </c>
      <c r="N8">
        <f t="shared" si="3"/>
        <v>8755.2000000000007</v>
      </c>
      <c r="O8">
        <f t="shared" si="1"/>
        <v>19.8</v>
      </c>
      <c r="P8">
        <f t="shared" si="1"/>
        <v>4395.6000000000004</v>
      </c>
      <c r="Q8" s="10">
        <f t="shared" si="1"/>
        <v>13170.6</v>
      </c>
      <c r="R8" s="10">
        <f t="shared" si="1"/>
        <v>2599.2000000000003</v>
      </c>
      <c r="S8">
        <f t="shared" si="1"/>
        <v>0</v>
      </c>
      <c r="T8" s="10">
        <f t="shared" si="1"/>
        <v>15769.800000000001</v>
      </c>
      <c r="V8" s="5" t="s">
        <v>31</v>
      </c>
      <c r="W8" s="4">
        <v>6</v>
      </c>
      <c r="X8" s="15">
        <f>C8</f>
        <v>4864</v>
      </c>
      <c r="Y8" s="15">
        <f t="shared" ref="Y8:Z9" si="7">D8</f>
        <v>11</v>
      </c>
      <c r="Z8" s="15">
        <f t="shared" si="7"/>
        <v>2442</v>
      </c>
      <c r="AA8" s="15">
        <f>G8</f>
        <v>1444</v>
      </c>
      <c r="AB8" s="15">
        <f>H8</f>
        <v>0</v>
      </c>
      <c r="AC8" s="15">
        <f>X8+Y8+Z8+AA8+AB8</f>
        <v>8761</v>
      </c>
      <c r="AD8" s="18">
        <v>1.8</v>
      </c>
      <c r="AE8" s="15">
        <f>AC8*AD8</f>
        <v>15769.800000000001</v>
      </c>
    </row>
    <row r="9" spans="2:31" ht="15.75" x14ac:dyDescent="0.25">
      <c r="B9" s="1" t="s">
        <v>5</v>
      </c>
      <c r="C9">
        <v>67</v>
      </c>
      <c r="D9">
        <v>0</v>
      </c>
      <c r="E9">
        <v>34</v>
      </c>
      <c r="F9">
        <f t="shared" si="0"/>
        <v>101</v>
      </c>
      <c r="G9">
        <v>20</v>
      </c>
      <c r="H9">
        <v>0</v>
      </c>
      <c r="I9">
        <v>121</v>
      </c>
      <c r="K9">
        <v>1.8</v>
      </c>
      <c r="M9" s="1" t="s">
        <v>5</v>
      </c>
      <c r="N9">
        <f t="shared" si="3"/>
        <v>120.60000000000001</v>
      </c>
      <c r="O9">
        <f t="shared" si="1"/>
        <v>0</v>
      </c>
      <c r="P9">
        <f t="shared" si="1"/>
        <v>61.2</v>
      </c>
      <c r="Q9" s="10">
        <f t="shared" si="1"/>
        <v>181.8</v>
      </c>
      <c r="R9" s="10">
        <f t="shared" si="1"/>
        <v>36</v>
      </c>
      <c r="S9">
        <f t="shared" si="1"/>
        <v>0</v>
      </c>
      <c r="T9" s="10">
        <f t="shared" si="1"/>
        <v>217.8</v>
      </c>
      <c r="V9" s="5" t="s">
        <v>32</v>
      </c>
      <c r="W9" s="4">
        <v>6</v>
      </c>
      <c r="X9" s="15">
        <f>C9</f>
        <v>67</v>
      </c>
      <c r="Y9" s="15">
        <f t="shared" si="7"/>
        <v>0</v>
      </c>
      <c r="Z9" s="15">
        <f t="shared" si="7"/>
        <v>34</v>
      </c>
      <c r="AA9" s="15">
        <f>G9</f>
        <v>20</v>
      </c>
      <c r="AB9" s="15">
        <f>H9</f>
        <v>0</v>
      </c>
      <c r="AC9" s="15">
        <f>X9+Y9+Z9+AA9+AB9</f>
        <v>121</v>
      </c>
      <c r="AD9" s="18">
        <v>1.8</v>
      </c>
      <c r="AE9" s="15">
        <f>AC9*AD9</f>
        <v>217.8</v>
      </c>
    </row>
    <row r="10" spans="2:31" ht="15.75" x14ac:dyDescent="0.25">
      <c r="B10" s="1" t="s">
        <v>6</v>
      </c>
      <c r="C10">
        <v>22019</v>
      </c>
      <c r="D10">
        <v>260</v>
      </c>
      <c r="E10">
        <v>11056</v>
      </c>
      <c r="F10">
        <f t="shared" si="0"/>
        <v>33335</v>
      </c>
      <c r="G10">
        <v>6580</v>
      </c>
      <c r="H10">
        <v>48</v>
      </c>
      <c r="I10">
        <v>39963</v>
      </c>
      <c r="K10">
        <v>1.8</v>
      </c>
      <c r="M10" s="1" t="s">
        <v>6</v>
      </c>
      <c r="N10">
        <f t="shared" si="3"/>
        <v>39634.200000000004</v>
      </c>
      <c r="O10">
        <f t="shared" si="1"/>
        <v>468</v>
      </c>
      <c r="P10">
        <f t="shared" si="1"/>
        <v>19900.8</v>
      </c>
      <c r="Q10" s="10">
        <f t="shared" si="1"/>
        <v>60003</v>
      </c>
      <c r="R10" s="10">
        <f t="shared" si="1"/>
        <v>11844</v>
      </c>
      <c r="S10">
        <f t="shared" si="1"/>
        <v>86.4</v>
      </c>
      <c r="T10" s="10">
        <f t="shared" si="1"/>
        <v>71933.400000000009</v>
      </c>
      <c r="V10" s="5" t="s">
        <v>33</v>
      </c>
      <c r="W10" s="4" t="s">
        <v>41</v>
      </c>
      <c r="X10" s="15">
        <f>C4+C5</f>
        <v>254</v>
      </c>
      <c r="Y10" s="15">
        <f t="shared" ref="Y10:Z10" si="8">D4+D5</f>
        <v>0</v>
      </c>
      <c r="Z10" s="15">
        <f t="shared" si="8"/>
        <v>127</v>
      </c>
      <c r="AA10" s="15">
        <f>G4+G5</f>
        <v>75</v>
      </c>
      <c r="AB10" s="15">
        <f>H4+H5</f>
        <v>0</v>
      </c>
      <c r="AC10" s="15">
        <f>X10+Y10+Z10+AA10+AB10</f>
        <v>456</v>
      </c>
      <c r="AD10" s="18">
        <v>1.8</v>
      </c>
      <c r="AE10" s="15">
        <f>AC10*AD10</f>
        <v>820.80000000000007</v>
      </c>
    </row>
    <row r="11" spans="2:31" ht="15.75" x14ac:dyDescent="0.25">
      <c r="B11" s="1" t="s">
        <v>7</v>
      </c>
      <c r="C11">
        <v>704</v>
      </c>
      <c r="D11">
        <v>8</v>
      </c>
      <c r="E11">
        <v>354</v>
      </c>
      <c r="F11">
        <f t="shared" si="0"/>
        <v>1066</v>
      </c>
      <c r="G11">
        <v>211</v>
      </c>
      <c r="H11">
        <v>2</v>
      </c>
      <c r="I11">
        <v>1279</v>
      </c>
      <c r="K11">
        <v>1.8</v>
      </c>
      <c r="M11" s="1" t="s">
        <v>7</v>
      </c>
      <c r="N11">
        <f t="shared" si="3"/>
        <v>1267.2</v>
      </c>
      <c r="O11">
        <f t="shared" si="1"/>
        <v>14.4</v>
      </c>
      <c r="P11">
        <f t="shared" si="1"/>
        <v>637.20000000000005</v>
      </c>
      <c r="Q11" s="10">
        <f t="shared" si="1"/>
        <v>1918.8</v>
      </c>
      <c r="R11" s="10">
        <f t="shared" si="1"/>
        <v>379.8</v>
      </c>
      <c r="S11">
        <f t="shared" si="1"/>
        <v>3.6</v>
      </c>
      <c r="T11" s="10">
        <f t="shared" si="1"/>
        <v>2302.2000000000003</v>
      </c>
      <c r="V11" s="4">
        <v>4</v>
      </c>
      <c r="W11" s="4">
        <v>10</v>
      </c>
      <c r="X11" s="15">
        <f>C16</f>
        <v>12615</v>
      </c>
      <c r="Y11" s="15">
        <f t="shared" ref="Y11:Z11" si="9">D16</f>
        <v>205</v>
      </c>
      <c r="Z11" s="15">
        <f t="shared" si="9"/>
        <v>6334</v>
      </c>
      <c r="AA11" s="15">
        <f>G16</f>
        <v>3781</v>
      </c>
      <c r="AB11" s="15">
        <f>H16</f>
        <v>117</v>
      </c>
      <c r="AC11" s="15">
        <f>X11+Y11+Z11+AA11+AB11</f>
        <v>23052</v>
      </c>
      <c r="AD11" s="18">
        <v>1.8</v>
      </c>
      <c r="AE11" s="15">
        <f>AC11*AD11</f>
        <v>41493.599999999999</v>
      </c>
    </row>
    <row r="12" spans="2:31" ht="15.75" x14ac:dyDescent="0.25">
      <c r="B12" s="1" t="s">
        <v>8</v>
      </c>
      <c r="C12">
        <v>8939</v>
      </c>
      <c r="D12">
        <v>140</v>
      </c>
      <c r="E12">
        <v>4488</v>
      </c>
      <c r="F12">
        <f t="shared" si="0"/>
        <v>13567</v>
      </c>
      <c r="G12">
        <v>2427</v>
      </c>
      <c r="H12">
        <v>0</v>
      </c>
      <c r="I12">
        <v>15994</v>
      </c>
      <c r="K12">
        <v>1.8</v>
      </c>
      <c r="M12" s="1" t="s">
        <v>8</v>
      </c>
      <c r="N12">
        <f t="shared" si="3"/>
        <v>16090.2</v>
      </c>
      <c r="O12">
        <f t="shared" si="1"/>
        <v>252</v>
      </c>
      <c r="P12">
        <f t="shared" si="1"/>
        <v>8078.4000000000005</v>
      </c>
      <c r="Q12" s="10">
        <f t="shared" si="1"/>
        <v>24420.600000000002</v>
      </c>
      <c r="R12" s="10">
        <f t="shared" si="1"/>
        <v>4368.6000000000004</v>
      </c>
      <c r="S12">
        <f t="shared" si="1"/>
        <v>0</v>
      </c>
      <c r="T12" s="10">
        <f t="shared" si="1"/>
        <v>28789.200000000001</v>
      </c>
      <c r="V12" s="4">
        <v>5</v>
      </c>
      <c r="W12" s="4" t="s">
        <v>42</v>
      </c>
      <c r="X12" s="15">
        <f>C18+C15</f>
        <v>5533</v>
      </c>
      <c r="Y12" s="15">
        <f t="shared" ref="Y12:Z12" si="10">D18+D15</f>
        <v>26</v>
      </c>
      <c r="Z12" s="15">
        <f t="shared" si="10"/>
        <v>2778</v>
      </c>
      <c r="AA12" s="15">
        <f>G18+G15</f>
        <v>1646</v>
      </c>
      <c r="AB12" s="15">
        <f>H18+H15</f>
        <v>12</v>
      </c>
      <c r="AC12" s="15">
        <f>X12+Y12+Z12+AA12+AB12</f>
        <v>9995</v>
      </c>
      <c r="AD12" s="18">
        <v>1.8</v>
      </c>
      <c r="AE12" s="15">
        <f>AC12*AD12</f>
        <v>17991</v>
      </c>
    </row>
    <row r="13" spans="2:31" ht="15.75" x14ac:dyDescent="0.25">
      <c r="B13" s="1" t="s">
        <v>9</v>
      </c>
      <c r="C13">
        <v>11831</v>
      </c>
      <c r="D13">
        <v>297</v>
      </c>
      <c r="E13">
        <v>5941</v>
      </c>
      <c r="F13">
        <f t="shared" si="0"/>
        <v>18069</v>
      </c>
      <c r="G13">
        <v>3809</v>
      </c>
      <c r="H13">
        <v>0</v>
      </c>
      <c r="I13">
        <v>21878</v>
      </c>
      <c r="K13">
        <v>1.8</v>
      </c>
      <c r="M13" s="1" t="s">
        <v>9</v>
      </c>
      <c r="N13">
        <f t="shared" si="3"/>
        <v>21295.8</v>
      </c>
      <c r="O13">
        <f t="shared" si="1"/>
        <v>534.6</v>
      </c>
      <c r="P13">
        <f t="shared" si="1"/>
        <v>10693.800000000001</v>
      </c>
      <c r="Q13" s="10">
        <f t="shared" si="1"/>
        <v>32524.2</v>
      </c>
      <c r="R13" s="10">
        <f t="shared" si="1"/>
        <v>6856.2</v>
      </c>
      <c r="S13">
        <f t="shared" si="1"/>
        <v>0</v>
      </c>
      <c r="T13" s="10">
        <f t="shared" si="1"/>
        <v>39380.400000000001</v>
      </c>
      <c r="V13" s="4">
        <v>6</v>
      </c>
      <c r="W13" s="4">
        <v>11</v>
      </c>
      <c r="X13" s="15">
        <f>C17</f>
        <v>152</v>
      </c>
      <c r="Y13" s="15">
        <f t="shared" ref="Y13:Z13" si="11">D17</f>
        <v>2</v>
      </c>
      <c r="Z13" s="15">
        <f t="shared" si="11"/>
        <v>76</v>
      </c>
      <c r="AA13" s="15">
        <f>G17</f>
        <v>48</v>
      </c>
      <c r="AB13" s="15">
        <f>H17</f>
        <v>0</v>
      </c>
      <c r="AC13" s="15">
        <f>X13+Y13+Z13+AA13+AB13</f>
        <v>278</v>
      </c>
      <c r="AD13" s="18">
        <v>2</v>
      </c>
      <c r="AE13" s="15">
        <f>AC13*AD13</f>
        <v>556</v>
      </c>
    </row>
    <row r="14" spans="2:31" ht="15.75" x14ac:dyDescent="0.25">
      <c r="B14" s="1" t="s">
        <v>10</v>
      </c>
      <c r="C14">
        <v>9485</v>
      </c>
      <c r="D14">
        <v>29</v>
      </c>
      <c r="E14">
        <v>4762</v>
      </c>
      <c r="F14">
        <f t="shared" si="0"/>
        <v>14276</v>
      </c>
      <c r="G14">
        <v>2171</v>
      </c>
      <c r="H14">
        <v>48</v>
      </c>
      <c r="I14">
        <v>16495</v>
      </c>
      <c r="K14">
        <v>1.8</v>
      </c>
      <c r="M14" s="1" t="s">
        <v>10</v>
      </c>
      <c r="N14">
        <f t="shared" si="3"/>
        <v>17073</v>
      </c>
      <c r="O14">
        <f t="shared" si="1"/>
        <v>52.2</v>
      </c>
      <c r="P14">
        <f t="shared" si="1"/>
        <v>8571.6</v>
      </c>
      <c r="Q14" s="10">
        <f t="shared" si="1"/>
        <v>25696.799999999999</v>
      </c>
      <c r="R14" s="10">
        <f t="shared" si="1"/>
        <v>3907.8</v>
      </c>
      <c r="S14">
        <f t="shared" si="1"/>
        <v>86.4</v>
      </c>
      <c r="T14" s="10">
        <f t="shared" si="1"/>
        <v>29691</v>
      </c>
      <c r="V14" s="4">
        <v>7</v>
      </c>
      <c r="W14" s="4">
        <v>13</v>
      </c>
      <c r="X14" s="15">
        <f>C19</f>
        <v>15</v>
      </c>
      <c r="Y14" s="15">
        <f t="shared" ref="Y14:Z14" si="12">D19</f>
        <v>0</v>
      </c>
      <c r="Z14" s="15">
        <f t="shared" si="12"/>
        <v>7</v>
      </c>
      <c r="AA14" s="15">
        <f>G19</f>
        <v>4</v>
      </c>
      <c r="AB14" s="15">
        <f>H19</f>
        <v>0</v>
      </c>
      <c r="AC14" s="15">
        <f>X14+Y14+Z14+AA14+AB14</f>
        <v>26</v>
      </c>
      <c r="AD14" s="18">
        <v>1.8</v>
      </c>
      <c r="AE14" s="15">
        <f>AC14*AD14</f>
        <v>46.800000000000004</v>
      </c>
    </row>
    <row r="15" spans="2:31" ht="15.75" x14ac:dyDescent="0.25">
      <c r="B15" s="1" t="s">
        <v>11</v>
      </c>
      <c r="C15">
        <v>2476</v>
      </c>
      <c r="D15">
        <v>7</v>
      </c>
      <c r="E15">
        <v>1243</v>
      </c>
      <c r="F15">
        <f t="shared" si="0"/>
        <v>3726</v>
      </c>
      <c r="G15">
        <v>736</v>
      </c>
      <c r="H15">
        <v>12</v>
      </c>
      <c r="I15">
        <v>4474</v>
      </c>
      <c r="K15">
        <v>1.8</v>
      </c>
      <c r="M15" s="1" t="s">
        <v>11</v>
      </c>
      <c r="N15">
        <f t="shared" si="3"/>
        <v>4456.8</v>
      </c>
      <c r="O15">
        <f t="shared" si="1"/>
        <v>12.6</v>
      </c>
      <c r="P15">
        <f t="shared" si="1"/>
        <v>2237.4</v>
      </c>
      <c r="Q15" s="10">
        <f t="shared" si="1"/>
        <v>6706.8</v>
      </c>
      <c r="R15" s="10">
        <f t="shared" si="1"/>
        <v>1324.8</v>
      </c>
      <c r="S15">
        <f t="shared" si="1"/>
        <v>21.6</v>
      </c>
      <c r="T15" s="10">
        <f t="shared" si="1"/>
        <v>8053.2</v>
      </c>
      <c r="X15" s="10">
        <f t="shared" ref="X15:AB15" si="13">SUM(X4:X14)</f>
        <v>77169</v>
      </c>
      <c r="Y15" s="10">
        <f t="shared" si="13"/>
        <v>980</v>
      </c>
      <c r="Z15" s="10">
        <f t="shared" si="13"/>
        <v>38746</v>
      </c>
      <c r="AA15" s="10">
        <f t="shared" si="13"/>
        <v>22421</v>
      </c>
      <c r="AB15" s="10">
        <f t="shared" si="13"/>
        <v>227</v>
      </c>
      <c r="AC15" s="10">
        <f>SUM(AC4:AC14)</f>
        <v>139543</v>
      </c>
      <c r="AD15" s="10"/>
      <c r="AE15" s="10">
        <f>SUM(AE4:AE14)</f>
        <v>251232.99999999997</v>
      </c>
    </row>
    <row r="16" spans="2:31" ht="15.75" x14ac:dyDescent="0.25">
      <c r="B16" s="1" t="s">
        <v>12</v>
      </c>
      <c r="C16">
        <v>12615</v>
      </c>
      <c r="D16">
        <v>205</v>
      </c>
      <c r="E16">
        <v>6334</v>
      </c>
      <c r="F16">
        <f t="shared" si="0"/>
        <v>19154</v>
      </c>
      <c r="G16">
        <v>3781</v>
      </c>
      <c r="H16">
        <v>117</v>
      </c>
      <c r="I16">
        <v>23052</v>
      </c>
      <c r="K16">
        <v>1.8</v>
      </c>
      <c r="M16" s="1" t="s">
        <v>12</v>
      </c>
      <c r="N16">
        <f t="shared" si="3"/>
        <v>22707</v>
      </c>
      <c r="O16">
        <f t="shared" si="1"/>
        <v>369</v>
      </c>
      <c r="P16">
        <f t="shared" si="1"/>
        <v>11401.2</v>
      </c>
      <c r="Q16" s="10">
        <f t="shared" si="1"/>
        <v>34477.200000000004</v>
      </c>
      <c r="R16" s="10">
        <f t="shared" si="1"/>
        <v>6805.8</v>
      </c>
      <c r="S16">
        <f t="shared" si="1"/>
        <v>210.6</v>
      </c>
      <c r="T16" s="10">
        <f t="shared" si="1"/>
        <v>41493.599999999999</v>
      </c>
    </row>
    <row r="17" spans="2:20" ht="15.75" x14ac:dyDescent="0.25">
      <c r="B17" s="1" t="s">
        <v>13</v>
      </c>
      <c r="C17">
        <v>152</v>
      </c>
      <c r="D17">
        <v>2</v>
      </c>
      <c r="E17">
        <v>76</v>
      </c>
      <c r="F17">
        <f t="shared" si="0"/>
        <v>230</v>
      </c>
      <c r="G17">
        <v>48</v>
      </c>
      <c r="H17">
        <v>0</v>
      </c>
      <c r="I17">
        <v>278</v>
      </c>
      <c r="K17" s="12">
        <v>2</v>
      </c>
      <c r="M17" s="1" t="s">
        <v>13</v>
      </c>
      <c r="N17">
        <f t="shared" si="3"/>
        <v>304</v>
      </c>
      <c r="O17">
        <f t="shared" si="1"/>
        <v>4</v>
      </c>
      <c r="P17">
        <f t="shared" si="1"/>
        <v>152</v>
      </c>
      <c r="Q17" s="10">
        <f t="shared" si="1"/>
        <v>460</v>
      </c>
      <c r="R17" s="10">
        <f t="shared" si="1"/>
        <v>96</v>
      </c>
      <c r="S17">
        <f t="shared" si="1"/>
        <v>0</v>
      </c>
      <c r="T17" s="10">
        <f t="shared" si="1"/>
        <v>556</v>
      </c>
    </row>
    <row r="18" spans="2:20" ht="15.75" x14ac:dyDescent="0.25">
      <c r="B18" s="1" t="s">
        <v>14</v>
      </c>
      <c r="C18">
        <v>3057</v>
      </c>
      <c r="D18">
        <v>19</v>
      </c>
      <c r="E18">
        <v>1535</v>
      </c>
      <c r="F18">
        <f t="shared" si="0"/>
        <v>4611</v>
      </c>
      <c r="G18">
        <v>910</v>
      </c>
      <c r="H18">
        <v>0</v>
      </c>
      <c r="I18">
        <v>5521</v>
      </c>
      <c r="K18">
        <v>1.8</v>
      </c>
      <c r="M18" s="1" t="s">
        <v>14</v>
      </c>
      <c r="N18">
        <f t="shared" si="3"/>
        <v>5502.6</v>
      </c>
      <c r="O18">
        <f t="shared" si="1"/>
        <v>34.200000000000003</v>
      </c>
      <c r="P18">
        <f t="shared" si="1"/>
        <v>2763</v>
      </c>
      <c r="Q18" s="10">
        <f t="shared" si="1"/>
        <v>8299.8000000000011</v>
      </c>
      <c r="R18" s="10">
        <f t="shared" si="1"/>
        <v>1638</v>
      </c>
      <c r="S18">
        <f t="shared" si="1"/>
        <v>0</v>
      </c>
      <c r="T18" s="10">
        <f t="shared" si="1"/>
        <v>9937.8000000000011</v>
      </c>
    </row>
    <row r="19" spans="2:20" ht="15.75" x14ac:dyDescent="0.25">
      <c r="B19" s="1" t="s">
        <v>15</v>
      </c>
      <c r="C19">
        <v>15</v>
      </c>
      <c r="D19">
        <v>0</v>
      </c>
      <c r="E19">
        <v>7</v>
      </c>
      <c r="F19">
        <f t="shared" si="0"/>
        <v>22</v>
      </c>
      <c r="G19">
        <v>4</v>
      </c>
      <c r="H19">
        <v>0</v>
      </c>
      <c r="I19">
        <v>26</v>
      </c>
      <c r="K19">
        <v>1.8</v>
      </c>
      <c r="M19" s="1" t="s">
        <v>15</v>
      </c>
      <c r="N19">
        <f t="shared" si="3"/>
        <v>27</v>
      </c>
      <c r="O19">
        <f t="shared" si="1"/>
        <v>0</v>
      </c>
      <c r="P19">
        <f t="shared" si="1"/>
        <v>12.6</v>
      </c>
      <c r="Q19" s="10">
        <f t="shared" si="1"/>
        <v>39.6</v>
      </c>
      <c r="R19" s="10">
        <f t="shared" si="1"/>
        <v>7.2</v>
      </c>
      <c r="S19">
        <f t="shared" si="1"/>
        <v>0</v>
      </c>
      <c r="T19" s="10">
        <f t="shared" si="1"/>
        <v>46.800000000000004</v>
      </c>
    </row>
    <row r="20" spans="2:20" ht="15.75" x14ac:dyDescent="0.25">
      <c r="B20" s="2" t="s">
        <v>16</v>
      </c>
      <c r="C20">
        <v>77169</v>
      </c>
      <c r="D20">
        <v>980</v>
      </c>
      <c r="E20">
        <v>38746</v>
      </c>
      <c r="F20">
        <f>SUM(F4:F19)</f>
        <v>116895</v>
      </c>
      <c r="G20">
        <v>22421</v>
      </c>
      <c r="H20">
        <v>227</v>
      </c>
      <c r="I20">
        <v>139543</v>
      </c>
      <c r="M20" s="2" t="s">
        <v>16</v>
      </c>
      <c r="N20">
        <f>SUM(N4:N19)</f>
        <v>138934.6</v>
      </c>
      <c r="O20">
        <f t="shared" ref="O20:T20" si="14">SUM(O4:O19)</f>
        <v>1764.4</v>
      </c>
      <c r="P20">
        <f t="shared" si="14"/>
        <v>69758.000000000015</v>
      </c>
      <c r="Q20" s="10">
        <f t="shared" si="14"/>
        <v>210457</v>
      </c>
      <c r="R20" s="10">
        <f t="shared" si="14"/>
        <v>40367.399999999994</v>
      </c>
      <c r="S20">
        <f t="shared" si="14"/>
        <v>408.6</v>
      </c>
      <c r="T20" s="10">
        <f t="shared" si="14"/>
        <v>251233</v>
      </c>
    </row>
    <row r="23" spans="2:20" ht="33.950000000000003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7" ma:contentTypeDescription="Create a new document." ma:contentTypeScope="" ma:versionID="d052d5d0cbba206a92698e59fff1adc9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107f69d6c17fede4ad775fb4a7f1d6c8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1f5b161-9dbc-4d55-8f07-a8caea185eb2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AE7D73-35E8-4278-A57B-ED3DB74ADA8D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customXml/itemProps2.xml><?xml version="1.0" encoding="utf-8"?>
<ds:datastoreItem xmlns:ds="http://schemas.openxmlformats.org/officeDocument/2006/customXml" ds:itemID="{540AFAA8-1FCC-4B33-AC89-865B88A585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097362-15C3-4A5F-9894-87C3883751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</vt:lpstr>
      <vt:lpstr>Winter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Bosley, Katelyn M (DFW)</dc:creator>
  <cp:lastModifiedBy>Bosley, Katelyn M (DFW)</cp:lastModifiedBy>
  <dcterms:created xsi:type="dcterms:W3CDTF">2015-06-05T18:17:20Z</dcterms:created>
  <dcterms:modified xsi:type="dcterms:W3CDTF">2026-08-19T22:26:28Z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  <property fmtid="{D5CDD505-2E9C-101B-9397-08002B2CF9AE}" pid="3" name="MediaServiceImageTags">
    <vt:lpwstr/>
  </property>
</Properties>
</file>