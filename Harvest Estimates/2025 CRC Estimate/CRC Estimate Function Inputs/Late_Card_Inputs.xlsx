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"/>
    </mc:Choice>
  </mc:AlternateContent>
  <xr:revisionPtr revIDLastSave="160" documentId="8_{3ADE3367-26AF-4F99-82D3-CEAF89926A42}" xr6:coauthVersionLast="47" xr6:coauthVersionMax="47" xr10:uidLastSave="{BA960089-61FD-407F-AFD6-03CCC19A8C39}"/>
  <bookViews>
    <workbookView xWindow="6096" yWindow="36" windowWidth="16620" windowHeight="11400" activeTab="1" xr2:uid="{8FE2FF63-C79E-4876-9A0D-43E8582B8762}"/>
  </bookViews>
  <sheets>
    <sheet name="Late Function Inputs" sheetId="1" r:id="rId1"/>
    <sheet name="Late Data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G6" i="2"/>
  <c r="J3" i="2"/>
  <c r="J4" i="2"/>
  <c r="J5" i="2"/>
  <c r="J6" i="2"/>
  <c r="J2" i="2"/>
  <c r="D5" i="2"/>
  <c r="D6" i="2"/>
  <c r="D4" i="2"/>
  <c r="D3" i="2"/>
</calcChain>
</file>

<file path=xl/sharedStrings.xml><?xml version="1.0" encoding="utf-8"?>
<sst xmlns="http://schemas.openxmlformats.org/spreadsheetml/2006/main" count="21" uniqueCount="20">
  <si>
    <t>yr.vec.late</t>
  </si>
  <si>
    <t>year</t>
  </si>
  <si>
    <t>total.CRCs.Summer</t>
  </si>
  <si>
    <t>total.late.Summer</t>
  </si>
  <si>
    <t>ratio.late.Summer</t>
  </si>
  <si>
    <t>catch.per.late.card.Summer</t>
  </si>
  <si>
    <t>catch.per.card.respondent.Summer</t>
  </si>
  <si>
    <t>total.CRCs.Winter</t>
  </si>
  <si>
    <t>total.late.Winter</t>
  </si>
  <si>
    <t>ratio.late.Winter</t>
  </si>
  <si>
    <t>catch.per.late.card.Winter</t>
  </si>
  <si>
    <t>catch.per.card.respondent.Winter</t>
  </si>
  <si>
    <t>Summer</t>
  </si>
  <si>
    <t>Winter</t>
  </si>
  <si>
    <t>Season.filt</t>
  </si>
  <si>
    <t>total.crc</t>
  </si>
  <si>
    <t>5.year.late.ratio</t>
  </si>
  <si>
    <t>3.or.1.year.avg.catch.per.late.card.ratio</t>
  </si>
  <si>
    <t>respondent.catch.per.card.current.season</t>
  </si>
  <si>
    <t>ratio.catch.per.late.card.Summer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</si>
</sst>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2E32-B455-4742-AFEE-348601BFC53D}">
  <dimension ref="A1:F4"/>
  <sheetViews>
    <sheetView topLeftCell="D1" zoomScale="120" zoomScaleNormal="120" workbookViewId="0">
      <selection activeCell="F8" sqref="F8"/>
    </sheetView>
  </sheetViews>
  <sheetFormatPr defaultRowHeight="14.4" x14ac:dyDescent="0.3"/>
  <cols>
    <col min="1" max="1" width="12.33203125" customWidth="1"/>
    <col min="2" max="2" width="22.33203125" customWidth="1"/>
    <col min="3" max="3" width="22.77734375" customWidth="1"/>
    <col min="4" max="4" width="24.109375" customWidth="1"/>
    <col min="5" max="5" width="36.44140625" customWidth="1"/>
    <col min="6" max="6" width="39.33203125" customWidth="1"/>
    <col min="7" max="7" width="20.88671875" customWidth="1"/>
    <col min="8" max="8" width="35" customWidth="1"/>
    <col min="9" max="9" width="43.33203125" customWidth="1"/>
    <col min="10" max="10" width="31.6640625" customWidth="1"/>
  </cols>
  <sheetData>
    <row r="1" spans="1:6" s="1" customFormat="1" x14ac:dyDescent="0.3">
      <c r="A1" t="s">
        <v>0</v>
      </c>
      <c r="B1" s="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s="1" customFormat="1" x14ac:dyDescent="0.3">
      <c r="A2" s="1">
        <v>2025</v>
      </c>
      <c r="B2" s="1" t="s">
        <v>12</v>
      </c>
      <c r="C2" s="1">
        <v>195496</v>
      </c>
      <c r="D2" s="1">
        <v>2.52E-2</v>
      </c>
      <c r="E2" s="1">
        <v>0.57299999999999995</v>
      </c>
      <c r="F2" s="1">
        <v>6.54</v>
      </c>
    </row>
    <row r="3" spans="1:6" s="1" customFormat="1" x14ac:dyDescent="0.3">
      <c r="A3" s="1">
        <v>2025</v>
      </c>
      <c r="B3" s="1" t="s">
        <v>13</v>
      </c>
      <c r="C3" s="1">
        <v>34873</v>
      </c>
      <c r="D3" s="1">
        <v>1.5800000000000002E-2</v>
      </c>
      <c r="E3" s="1">
        <v>0.56599999999999995</v>
      </c>
      <c r="F3" s="1">
        <v>5.09</v>
      </c>
    </row>
    <row r="4" spans="1:6" s="1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6732-3853-4BC7-8C79-FFA334AF3A17}">
  <dimension ref="A1:M7"/>
  <sheetViews>
    <sheetView tabSelected="1" topLeftCell="H1" workbookViewId="0">
      <selection activeCell="L13" sqref="L13"/>
    </sheetView>
  </sheetViews>
  <sheetFormatPr defaultRowHeight="14.4" x14ac:dyDescent="0.3"/>
  <cols>
    <col min="2" max="2" width="18.6640625" customWidth="1"/>
    <col min="3" max="3" width="20.44140625" customWidth="1"/>
    <col min="4" max="4" width="18.33203125" customWidth="1"/>
    <col min="5" max="5" width="25.44140625" customWidth="1"/>
    <col min="6" max="7" width="31.6640625" customWidth="1"/>
    <col min="8" max="8" width="18.88671875" customWidth="1"/>
    <col min="9" max="9" width="16.33203125" customWidth="1"/>
    <col min="10" max="10" width="18.44140625" customWidth="1"/>
    <col min="11" max="11" width="24.21875" customWidth="1"/>
    <col min="12" max="12" width="30.44140625" customWidth="1"/>
    <col min="13" max="13" width="31.6640625" customWidth="1"/>
  </cols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19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19</v>
      </c>
    </row>
    <row r="2" spans="1:13" x14ac:dyDescent="0.3">
      <c r="A2" s="1">
        <v>2020</v>
      </c>
      <c r="B2" s="1">
        <v>213831</v>
      </c>
      <c r="C2" s="1">
        <v>7019</v>
      </c>
      <c r="D2" s="3">
        <v>3.2800000000000003E-2</v>
      </c>
      <c r="E2" s="1"/>
      <c r="F2" s="1">
        <v>7.17</v>
      </c>
      <c r="G2" s="1"/>
      <c r="H2" s="1">
        <v>36459</v>
      </c>
      <c r="I2" s="1">
        <v>576</v>
      </c>
      <c r="J2" s="4">
        <f>I2/H2</f>
        <v>1.5798568254751913E-2</v>
      </c>
      <c r="K2" s="1"/>
      <c r="L2" s="1">
        <v>4.2300000000000004</v>
      </c>
      <c r="M2" s="1"/>
    </row>
    <row r="3" spans="1:13" x14ac:dyDescent="0.3">
      <c r="A3" s="1">
        <v>2021</v>
      </c>
      <c r="B3" s="1">
        <v>225282</v>
      </c>
      <c r="C3" s="1">
        <v>5140</v>
      </c>
      <c r="D3" s="4">
        <f>C3/B3</f>
        <v>2.2815848580889728E-2</v>
      </c>
      <c r="E3" s="1"/>
      <c r="F3" s="1">
        <v>5.69</v>
      </c>
      <c r="G3" s="1"/>
      <c r="H3" s="1">
        <v>26843</v>
      </c>
      <c r="I3" s="1">
        <v>453</v>
      </c>
      <c r="J3" s="4">
        <f t="shared" ref="J3:J6" si="0">I3/H3</f>
        <v>1.6875908057966696E-2</v>
      </c>
      <c r="K3" s="1"/>
      <c r="L3" s="1">
        <v>4.5599999999999996</v>
      </c>
      <c r="M3" s="1"/>
    </row>
    <row r="4" spans="1:13" x14ac:dyDescent="0.3">
      <c r="A4" s="1">
        <v>2022</v>
      </c>
      <c r="B4" s="1">
        <v>210725</v>
      </c>
      <c r="C4" s="1">
        <v>4847</v>
      </c>
      <c r="D4" s="4">
        <f>C4/B4</f>
        <v>2.3001542294459602E-2</v>
      </c>
      <c r="E4" s="1"/>
      <c r="F4" s="1">
        <v>5.67</v>
      </c>
      <c r="G4" s="1"/>
      <c r="H4" s="1">
        <v>37900</v>
      </c>
      <c r="I4" s="1">
        <v>551</v>
      </c>
      <c r="J4" s="4">
        <f t="shared" si="0"/>
        <v>1.4538258575197889E-2</v>
      </c>
      <c r="K4" s="1"/>
      <c r="L4" s="1">
        <v>4.78</v>
      </c>
      <c r="M4" s="1"/>
    </row>
    <row r="5" spans="1:13" x14ac:dyDescent="0.3">
      <c r="A5" s="1">
        <v>2023</v>
      </c>
      <c r="B5" s="1">
        <v>185455</v>
      </c>
      <c r="C5" s="1">
        <v>4029</v>
      </c>
      <c r="D5" s="4">
        <f t="shared" ref="D5:D6" si="1">C5/B5</f>
        <v>2.1724946752581489E-2</v>
      </c>
      <c r="E5" s="2"/>
      <c r="F5" s="2">
        <v>5.97</v>
      </c>
      <c r="G5" s="2"/>
      <c r="H5" s="1">
        <v>32975</v>
      </c>
      <c r="I5" s="1">
        <v>554</v>
      </c>
      <c r="J5" s="4">
        <f t="shared" si="0"/>
        <v>1.6800606520090976E-2</v>
      </c>
      <c r="K5" s="1"/>
      <c r="L5" s="1">
        <v>5.75</v>
      </c>
      <c r="M5" s="2"/>
    </row>
    <row r="6" spans="1:13" x14ac:dyDescent="0.3">
      <c r="A6" s="1">
        <v>2024</v>
      </c>
      <c r="B6" s="1">
        <v>187214</v>
      </c>
      <c r="C6" s="1">
        <v>4769</v>
      </c>
      <c r="D6" s="4">
        <f t="shared" si="1"/>
        <v>2.5473522279316718E-2</v>
      </c>
      <c r="E6" s="2">
        <v>3.7</v>
      </c>
      <c r="F6" s="2">
        <v>6.46</v>
      </c>
      <c r="G6" s="5">
        <f>E6/F6</f>
        <v>0.57275541795665641</v>
      </c>
      <c r="H6" s="1">
        <v>33743</v>
      </c>
      <c r="I6" s="1">
        <v>511</v>
      </c>
      <c r="J6" s="4">
        <f t="shared" si="0"/>
        <v>1.5143881693980973E-2</v>
      </c>
      <c r="K6" s="1">
        <v>2.93</v>
      </c>
      <c r="L6" s="1">
        <v>5.18</v>
      </c>
      <c r="M6" s="5">
        <f>K6/L6</f>
        <v>0.56563706563706573</v>
      </c>
    </row>
    <row r="7" spans="1:13" x14ac:dyDescent="0.3">
      <c r="A7" s="1">
        <v>2025</v>
      </c>
      <c r="B7" s="1">
        <v>195496</v>
      </c>
      <c r="C7" s="1"/>
      <c r="D7" s="1"/>
      <c r="E7" s="1"/>
      <c r="F7" s="1">
        <v>6.54</v>
      </c>
      <c r="G7" s="1"/>
      <c r="H7" s="1">
        <v>34873</v>
      </c>
      <c r="I7" s="1"/>
      <c r="J7" s="1"/>
      <c r="K7" s="1"/>
      <c r="L7" s="1">
        <v>5.09</v>
      </c>
      <c r="M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AD438-D077-4D84-9736-3E4690902E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CFB0EC-854A-4699-9898-384FE36BBEEB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3.xml><?xml version="1.0" encoding="utf-8"?>
<ds:datastoreItem xmlns:ds="http://schemas.openxmlformats.org/officeDocument/2006/customXml" ds:itemID="{70843E38-9382-4D09-B7BE-8B45ECEB8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 Function Inputs</vt:lpstr>
      <vt:lpstr>Late 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2025-11-10T16:52:39Z</dcterms:created>
  <dcterms:modified xsi:type="dcterms:W3CDTF">2026-05-04T20:57:16Z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